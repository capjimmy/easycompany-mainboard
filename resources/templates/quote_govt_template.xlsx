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iskstation\011. CON\★ 공통문서\02. 견적서\"/>
    </mc:Choice>
  </mc:AlternateContent>
  <bookViews>
    <workbookView xWindow="0" yWindow="0" windowWidth="28800" windowHeight="11835" tabRatio="655"/>
  </bookViews>
  <sheets>
    <sheet name="공문" sheetId="30" r:id="rId1"/>
    <sheet name="산출내역서" sheetId="34" r:id="rId2"/>
    <sheet name="산출근거" sheetId="36" r:id="rId3"/>
  </sheets>
  <definedNames>
    <definedName name="_Fill" localSheetId="2" hidden="1">#REF!</definedName>
    <definedName name="_Fill" localSheetId="1" hidden="1">#REF!</definedName>
    <definedName name="_Fill" hidden="1">#REF!</definedName>
    <definedName name="_Key1" localSheetId="2" hidden="1">#REF!</definedName>
    <definedName name="_Key1" localSheetId="1" hidden="1">#REF!</definedName>
    <definedName name="_Key1" hidden="1">#REF!</definedName>
    <definedName name="_Key2" localSheetId="2" hidden="1">#REF!</definedName>
    <definedName name="_Key2" localSheetId="1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localSheetId="1" hidden="1">#REF!</definedName>
    <definedName name="_Sort" hidden="1">#REF!</definedName>
    <definedName name="HTML_CodePage" hidden="1">949</definedName>
    <definedName name="HTML_Control" hidden="1">{"'공사부문'!$A$6:$A$32"}</definedName>
    <definedName name="HTML_Description" hidden="1">""</definedName>
    <definedName name="HTML_Email" hidden="1">""</definedName>
    <definedName name="HTML_Header" hidden="1">"공사부문"</definedName>
    <definedName name="HTML_LastUpdate" hidden="1">"98-04-27"</definedName>
    <definedName name="HTML_LineAfter" hidden="1">FALSE</definedName>
    <definedName name="HTML_LineBefore" hidden="1">FALSE</definedName>
    <definedName name="HTML_Name" hidden="1">"김준곤"</definedName>
    <definedName name="HTML_OBDlg2" hidden="1">TRUE</definedName>
    <definedName name="HTML_OBDlg4" hidden="1">TRUE</definedName>
    <definedName name="HTML_OS" hidden="1">0</definedName>
    <definedName name="HTML_PathFile" hidden="1">"C:\WINNT\Profiles\Administrator\Personal\MyHTML.htm"</definedName>
    <definedName name="HTML_Title" hidden="1">"시중노임단가"</definedName>
    <definedName name="_xlnm.Print_Area" localSheetId="0">공문!$A$1:$I$38</definedName>
    <definedName name="_xlnm.Print_Area" localSheetId="2">산출근거!$B$1:$BH$40</definedName>
    <definedName name="_xlnm.Print_Area" localSheetId="1">산출내역서!$B$1:$J$34</definedName>
  </definedNames>
  <calcPr calcId="162913"/>
</workbook>
</file>

<file path=xl/calcChain.xml><?xml version="1.0" encoding="utf-8"?>
<calcChain xmlns="http://schemas.openxmlformats.org/spreadsheetml/2006/main">
  <c r="H35" i="30" l="1"/>
  <c r="E35" i="30"/>
  <c r="B35" i="30" l="1"/>
  <c r="B36" i="30"/>
  <c r="AC8" i="36" l="1"/>
  <c r="B5" i="30" l="1"/>
  <c r="E16" i="34" l="1"/>
  <c r="A13" i="30" l="1"/>
  <c r="B7" i="30" l="1"/>
  <c r="E5" i="34" l="1"/>
  <c r="S5" i="34" l="1"/>
  <c r="F16" i="34" l="1"/>
  <c r="I23" i="34" l="1"/>
  <c r="I29" i="34" s="1"/>
  <c r="I31" i="34" s="1"/>
  <c r="E4" i="34"/>
  <c r="M25" i="36"/>
  <c r="U25" i="36" s="1"/>
  <c r="M24" i="36"/>
  <c r="U24" i="36" s="1"/>
  <c r="M23" i="36"/>
  <c r="U23" i="36" s="1"/>
  <c r="M22" i="36"/>
  <c r="U22" i="36" s="1"/>
  <c r="BI22" i="36" s="1"/>
  <c r="BI11" i="36"/>
  <c r="BJ11" i="36" s="1"/>
  <c r="BK11" i="36" s="1"/>
  <c r="BL11" i="36" s="1"/>
  <c r="BM11" i="36" s="1"/>
  <c r="AC11" i="36"/>
  <c r="AK11" i="36" s="1"/>
  <c r="AR11" i="36" s="1"/>
  <c r="AZ11" i="36" s="1"/>
  <c r="BI10" i="36"/>
  <c r="BJ10" i="36" s="1"/>
  <c r="BK10" i="36" s="1"/>
  <c r="BL10" i="36" s="1"/>
  <c r="BM10" i="36" s="1"/>
  <c r="AC10" i="36"/>
  <c r="AK10" i="36" s="1"/>
  <c r="AR10" i="36" s="1"/>
  <c r="AZ10" i="36" s="1"/>
  <c r="BI9" i="36"/>
  <c r="BJ9" i="36" s="1"/>
  <c r="BK9" i="36" s="1"/>
  <c r="AC9" i="36"/>
  <c r="AK9" i="36" s="1"/>
  <c r="AR9" i="36" s="1"/>
  <c r="AZ9" i="36" s="1"/>
  <c r="BI8" i="36"/>
  <c r="BJ8" i="36" s="1"/>
  <c r="AK8" i="36"/>
  <c r="AR8" i="36" s="1"/>
  <c r="AZ8" i="36" s="1"/>
  <c r="Q12" i="34"/>
  <c r="R18" i="34" s="1"/>
  <c r="J1" i="30"/>
  <c r="G23" i="34"/>
  <c r="K33" i="34"/>
  <c r="N17" i="34"/>
  <c r="F17" i="34"/>
  <c r="E17" i="34"/>
  <c r="F15" i="34"/>
  <c r="E15" i="34"/>
  <c r="F14" i="34"/>
  <c r="E14" i="34"/>
  <c r="F13" i="34"/>
  <c r="E13" i="34"/>
  <c r="B6" i="30"/>
  <c r="Q15" i="34" l="1"/>
  <c r="S13" i="34"/>
  <c r="S16" i="34"/>
  <c r="Q16" i="34"/>
  <c r="S14" i="34"/>
  <c r="AC22" i="36"/>
  <c r="AK22" i="36" s="1"/>
  <c r="AR22" i="36" s="1"/>
  <c r="AZ22" i="36" s="1"/>
  <c r="G13" i="34" s="1"/>
  <c r="AC24" i="36"/>
  <c r="AK24" i="36" s="1"/>
  <c r="AR24" i="36" s="1"/>
  <c r="AZ24" i="36" s="1"/>
  <c r="G15" i="34" s="1"/>
  <c r="BI24" i="36"/>
  <c r="BJ24" i="36" s="1"/>
  <c r="BI25" i="36"/>
  <c r="BJ25" i="36" s="1"/>
  <c r="BK25" i="36" s="1"/>
  <c r="BL25" i="36" s="1"/>
  <c r="BM25" i="36" s="1"/>
  <c r="AC25" i="36"/>
  <c r="AK25" i="36" s="1"/>
  <c r="AR25" i="36" s="1"/>
  <c r="AZ25" i="36" s="1"/>
  <c r="G16" i="34" s="1"/>
  <c r="AC23" i="36"/>
  <c r="AK23" i="36" s="1"/>
  <c r="BI23" i="36"/>
  <c r="BJ23" i="36" s="1"/>
  <c r="BK23" i="36" s="1"/>
  <c r="BJ22" i="36"/>
  <c r="BK22" i="36" s="1"/>
  <c r="BL22" i="36" s="1"/>
  <c r="BM22" i="36" s="1"/>
  <c r="Q14" i="34"/>
  <c r="BL9" i="36"/>
  <c r="BM9" i="36" s="1"/>
  <c r="BK8" i="36"/>
  <c r="BL8" i="36" s="1"/>
  <c r="BM8" i="36" s="1"/>
  <c r="Q13" i="34"/>
  <c r="S15" i="34"/>
  <c r="I13" i="34" l="1"/>
  <c r="H13" i="34"/>
  <c r="BK24" i="36"/>
  <c r="BL24" i="36" s="1"/>
  <c r="BM24" i="36" s="1"/>
  <c r="BL23" i="36"/>
  <c r="BM23" i="36" s="1"/>
  <c r="AR23" i="36"/>
  <c r="AZ23" i="36" s="1"/>
  <c r="G14" i="34" s="1"/>
  <c r="I15" i="34"/>
  <c r="H15" i="34"/>
  <c r="I16" i="34"/>
  <c r="H16" i="34"/>
  <c r="H14" i="34" l="1"/>
  <c r="I14" i="34"/>
  <c r="I17" i="34" s="1"/>
  <c r="I30" i="34" s="1"/>
  <c r="I32" i="34" s="1"/>
  <c r="I33" i="34" s="1"/>
  <c r="I34" i="34" s="1"/>
  <c r="O6" i="34" l="1"/>
  <c r="O5" i="34"/>
</calcChain>
</file>

<file path=xl/comments1.xml><?xml version="1.0" encoding="utf-8"?>
<comments xmlns="http://schemas.openxmlformats.org/spreadsheetml/2006/main">
  <authors>
    <author>lg</author>
  </authors>
  <commentList>
    <comment ref="L8" authorId="0" shapeId="0">
      <text>
        <r>
          <rPr>
            <sz val="9"/>
            <color indexed="81"/>
            <rFont val="돋움"/>
            <family val="3"/>
            <charset val="129"/>
          </rPr>
          <t>견적금액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<sst xmlns="http://schemas.openxmlformats.org/spreadsheetml/2006/main" count="151" uniqueCount="121">
  <si>
    <t>제3호등급</t>
  </si>
  <si>
    <t>제4호등급</t>
  </si>
  <si>
    <t>인원</t>
  </si>
  <si>
    <t>일수</t>
  </si>
  <si>
    <t>면</t>
  </si>
  <si>
    <t>회수</t>
  </si>
  <si>
    <t>연구원</t>
    <phoneticPr fontId="2" type="noConversion"/>
  </si>
  <si>
    <t>참조</t>
    <phoneticPr fontId="2" type="noConversion"/>
  </si>
  <si>
    <t>연구보조원</t>
  </si>
  <si>
    <t>보조원</t>
  </si>
  <si>
    <t>소계</t>
  </si>
  <si>
    <t>ㆍ여  비</t>
  </si>
  <si>
    <t>ㆍ유인물비</t>
  </si>
  <si>
    <t>ㆍ전산처리비</t>
  </si>
  <si>
    <t>ㆍ시약 및 연구용재료비</t>
  </si>
  <si>
    <t>ㆍ회의비</t>
  </si>
  <si>
    <t>ㆍ임차료</t>
  </si>
  <si>
    <t>ㆍ교통통신비</t>
  </si>
  <si>
    <t>소  계</t>
  </si>
  <si>
    <t>인건비/일</t>
    <phoneticPr fontId="2" type="noConversion"/>
  </si>
  <si>
    <t xml:space="preserve">(인건비+경비) × 5 % </t>
  </si>
  <si>
    <t>수신</t>
    <phoneticPr fontId="2" type="noConversion"/>
  </si>
  <si>
    <t>현장명</t>
    <phoneticPr fontId="2" type="noConversion"/>
  </si>
  <si>
    <t>시행</t>
    <phoneticPr fontId="2" type="noConversion"/>
  </si>
  <si>
    <t>날짜</t>
    <phoneticPr fontId="2" type="noConversion"/>
  </si>
  <si>
    <t>1. 귀 사의 발전을 기원합니다.</t>
    <phoneticPr fontId="2" type="noConversion"/>
  </si>
  <si>
    <t>공문번호</t>
    <phoneticPr fontId="2" type="noConversion"/>
  </si>
  <si>
    <t>수   신 :</t>
    <phoneticPr fontId="2" type="noConversion"/>
  </si>
  <si>
    <t>참   조 :</t>
    <phoneticPr fontId="2" type="noConversion"/>
  </si>
  <si>
    <t>제   목 :</t>
    <phoneticPr fontId="2" type="noConversion"/>
  </si>
  <si>
    <t>첨   부 :</t>
    <phoneticPr fontId="2" type="noConversion"/>
  </si>
  <si>
    <t>용역명</t>
    <phoneticPr fontId="2" type="noConversion"/>
  </si>
  <si>
    <t>담당자</t>
    <phoneticPr fontId="2" type="noConversion"/>
  </si>
  <si>
    <t>산 출 기 준</t>
    <phoneticPr fontId="2" type="noConversion"/>
  </si>
  <si>
    <t>참여율</t>
    <phoneticPr fontId="2" type="noConversion"/>
  </si>
  <si>
    <t>용역비 산출내역서</t>
    <phoneticPr fontId="2" type="noConversion"/>
  </si>
  <si>
    <t>＊</t>
    <phoneticPr fontId="2" type="noConversion"/>
  </si>
  <si>
    <t>본용역투입인력</t>
    <phoneticPr fontId="2" type="noConversion"/>
  </si>
  <si>
    <t>금  액</t>
    <phoneticPr fontId="2" type="noConversion"/>
  </si>
  <si>
    <t>투입일수</t>
    <phoneticPr fontId="2" type="noConversion"/>
  </si>
  <si>
    <t>본용역참여율
기준단가</t>
    <phoneticPr fontId="2" type="noConversion"/>
  </si>
  <si>
    <t>책임연구원</t>
    <phoneticPr fontId="2" type="noConversion"/>
  </si>
  <si>
    <t>등  급</t>
    <phoneticPr fontId="2" type="noConversion"/>
  </si>
  <si>
    <t>제2호등급</t>
    <phoneticPr fontId="2" type="noConversion"/>
  </si>
  <si>
    <t>2) 유인물비: 조달청 인쇄요율 적용(경인쇄 16절 백상지 기준) 인쇄면당 \4,710 기준</t>
    <phoneticPr fontId="2" type="noConversion"/>
  </si>
  <si>
    <t>용역비 비목별 단가 산출근거</t>
    <phoneticPr fontId="2" type="noConversion"/>
  </si>
  <si>
    <t>기본급</t>
    <phoneticPr fontId="2" type="noConversion"/>
  </si>
  <si>
    <t>퇴직충당금</t>
    <phoneticPr fontId="2" type="noConversion"/>
  </si>
  <si>
    <t>등     급</t>
    <phoneticPr fontId="2" type="noConversion"/>
  </si>
  <si>
    <t>1. 인건비</t>
    <phoneticPr fontId="2" type="noConversion"/>
  </si>
  <si>
    <t>인건비 기준단가</t>
    <phoneticPr fontId="2" type="noConversion"/>
  </si>
  <si>
    <t>상여금</t>
    <phoneticPr fontId="2" type="noConversion"/>
  </si>
  <si>
    <t>계</t>
    <phoneticPr fontId="2" type="noConversion"/>
  </si>
  <si>
    <t>연구보조원</t>
    <phoneticPr fontId="2" type="noConversion"/>
  </si>
  <si>
    <t>2. 경비</t>
    <phoneticPr fontId="2" type="noConversion"/>
  </si>
  <si>
    <t>1) 여비</t>
    <phoneticPr fontId="2" type="noConversion"/>
  </si>
  <si>
    <t>구      분</t>
    <phoneticPr fontId="2" type="noConversion"/>
  </si>
  <si>
    <t>단    가</t>
    <phoneticPr fontId="2" type="noConversion"/>
  </si>
  <si>
    <t>비    고</t>
    <phoneticPr fontId="2" type="noConversion"/>
  </si>
  <si>
    <t>3) 전산처리비: 컴퓨터 사용료 기준</t>
    <phoneticPr fontId="2" type="noConversion"/>
  </si>
  <si>
    <t>보조원</t>
    <phoneticPr fontId="2" type="noConversion"/>
  </si>
  <si>
    <t>구            분</t>
    <phoneticPr fontId="2" type="noConversion"/>
  </si>
  <si>
    <t>경    비</t>
    <phoneticPr fontId="2" type="noConversion"/>
  </si>
  <si>
    <t>비  목</t>
    <phoneticPr fontId="2" type="noConversion"/>
  </si>
  <si>
    <t xml:space="preserve">   책임연구원</t>
    <phoneticPr fontId="2" type="noConversion"/>
  </si>
  <si>
    <t xml:space="preserve">   연구원</t>
    <phoneticPr fontId="2" type="noConversion"/>
  </si>
  <si>
    <t xml:space="preserve">   연구보조원</t>
    <phoneticPr fontId="2" type="noConversion"/>
  </si>
  <si>
    <t>인    건    비</t>
    <phoneticPr fontId="2" type="noConversion"/>
  </si>
  <si>
    <t>경          비</t>
    <phoneticPr fontId="2" type="noConversion"/>
  </si>
  <si>
    <t>일 반 관 리 비</t>
    <phoneticPr fontId="2" type="noConversion"/>
  </si>
  <si>
    <t xml:space="preserve">(인건비+경비+일반관리비) × 10 % </t>
    <phoneticPr fontId="2" type="noConversion"/>
  </si>
  <si>
    <t>(인건비+경비+일반관리비+이윤)</t>
    <phoneticPr fontId="2" type="noConversion"/>
  </si>
  <si>
    <t>인건비단가/일</t>
    <phoneticPr fontId="2" type="noConversion"/>
  </si>
  <si>
    <t>참여인원</t>
    <phoneticPr fontId="2" type="noConversion"/>
  </si>
  <si>
    <t>이          윤</t>
    <phoneticPr fontId="2" type="noConversion"/>
  </si>
  <si>
    <t>용    역    비</t>
    <phoneticPr fontId="2" type="noConversion"/>
  </si>
  <si>
    <t>No.</t>
    <phoneticPr fontId="2" type="noConversion"/>
  </si>
  <si>
    <t>금액</t>
    <phoneticPr fontId="2" type="noConversion"/>
  </si>
  <si>
    <t xml:space="preserve">No. </t>
    <phoneticPr fontId="2" type="noConversion"/>
  </si>
  <si>
    <t>page</t>
    <phoneticPr fontId="2" type="noConversion"/>
  </si>
  <si>
    <t>참여
인원</t>
    <phoneticPr fontId="2" type="noConversion"/>
  </si>
  <si>
    <t>투입
일수</t>
    <phoneticPr fontId="2" type="noConversion"/>
  </si>
  <si>
    <t>용역기간</t>
    <phoneticPr fontId="2" type="noConversion"/>
  </si>
  <si>
    <t xml:space="preserve">  1) 학술용역인건비 기준단가</t>
    <phoneticPr fontId="2" type="noConversion"/>
  </si>
  <si>
    <t xml:space="preserve">  2) 본 용역에 대한 인건비 기준단가</t>
    <phoneticPr fontId="2" type="noConversion"/>
  </si>
  <si>
    <t xml:space="preserve"> </t>
    <phoneticPr fontId="2" type="noConversion"/>
  </si>
  <si>
    <t>:</t>
    <phoneticPr fontId="2" type="noConversion"/>
  </si>
  <si>
    <t>의뢰처</t>
    <phoneticPr fontId="2" type="noConversion"/>
  </si>
  <si>
    <t>용역명</t>
    <phoneticPr fontId="2" type="noConversion"/>
  </si>
  <si>
    <t>＊</t>
  </si>
  <si>
    <t>면수</t>
    <phoneticPr fontId="2" type="noConversion"/>
  </si>
  <si>
    <t xml:space="preserve">    ② 상여금 : 기본급에 년 400% 지급</t>
    <phoneticPr fontId="2" type="noConversion"/>
  </si>
  <si>
    <t xml:space="preserve">    ③ 퇴직충당금 : 기본급 및 상여급의 합계액에 년 100% 충당</t>
    <phoneticPr fontId="2" type="noConversion"/>
  </si>
  <si>
    <t xml:space="preserve">    ④ 근무일수 : 22일/월</t>
    <phoneticPr fontId="2" type="noConversion"/>
  </si>
  <si>
    <t>4) 시약 및 연구용재료비: 실비계산</t>
    <phoneticPr fontId="2" type="noConversion"/>
  </si>
  <si>
    <t>5) 회의비: 외부인사 초청회의비 기준(2급 공무원 이상 수준의 위원회 위원수당)</t>
    <phoneticPr fontId="2" type="noConversion"/>
  </si>
  <si>
    <t>6) 임차료: 특수실험 실습기기 및 회의장 사용료 기준</t>
    <phoneticPr fontId="2" type="noConversion"/>
  </si>
  <si>
    <t>7) 교통통신비: 시내교통비, 전신전화사용료, 우편료등으로 일당 \20,000 기준</t>
    <phoneticPr fontId="2" type="noConversion"/>
  </si>
  <si>
    <t>전화 1833-9665 / 전송 070-4032-3866 /  www.iceri.or.kr / con@iceri.or.kr</t>
  </si>
  <si>
    <t>1. 용역비 산출내역서</t>
    <phoneticPr fontId="2" type="noConversion"/>
  </si>
  <si>
    <t>(우 16954) 경기도 용인시 기흥구 흥덕1로 13, 타워동 1201호(영덕동, 흥덕IT밸리)</t>
  </si>
  <si>
    <t>일금 사백만원정 (\4,000,000) (VAT별도)</t>
  </si>
  <si>
    <t xml:space="preserve">    ※ 상기 금액은 계약예규 「예정가격 작성기준」학술연구용역 원가계산 제26조 제2항에 의거 산정</t>
    <phoneticPr fontId="2" type="noConversion"/>
  </si>
  <si>
    <t>용역범위</t>
    <phoneticPr fontId="2" type="noConversion"/>
  </si>
  <si>
    <t>인 건 비</t>
    <phoneticPr fontId="2" type="noConversion"/>
  </si>
  <si>
    <t>용역금액</t>
    <phoneticPr fontId="2" type="noConversion"/>
  </si>
  <si>
    <t>2. 용역비 비목별 단가 산출근거   끝.</t>
    <phoneticPr fontId="2" type="noConversion"/>
  </si>
  <si>
    <t>공기연장으로 인한 계약금액 조정</t>
    <phoneticPr fontId="2" type="noConversion"/>
  </si>
  <si>
    <t>2302-2214. 한일건설(주)-남한산성 순환도로 확장공사 공기연장 간접비 계약금액 조정(추가)</t>
  </si>
  <si>
    <t>한일건설㈜</t>
    <phoneticPr fontId="2" type="noConversion"/>
  </si>
  <si>
    <t>남한산성 순환도로 확장공사</t>
    <phoneticPr fontId="2" type="noConversion"/>
  </si>
  <si>
    <t>공기연장 간접비 계약금액 조정(10차수)</t>
    <phoneticPr fontId="2" type="noConversion"/>
  </si>
  <si>
    <t>자료수령일부터 2개월</t>
    <phoneticPr fontId="2" type="noConversion"/>
  </si>
  <si>
    <t xml:space="preserve">    일금 일천만원정 (\ 10,000,000)  (VAT 별도)
      - 계약금 : 3,000,000원(30%, 계약 시)
      - 준공금 : 7,000,000원(70%, 보고서 제출 시)</t>
    <phoneticPr fontId="2" type="noConversion"/>
  </si>
  <si>
    <t>주 ① 기본급 : 학술연구용역 연구비 단가 (24년 학술연구용역 인건비 기준단가 반영)</t>
    <phoneticPr fontId="2" type="noConversion"/>
  </si>
  <si>
    <t>담당자 1</t>
    <phoneticPr fontId="2" type="noConversion"/>
  </si>
  <si>
    <t>담당자 2</t>
    <phoneticPr fontId="2" type="noConversion"/>
  </si>
  <si>
    <t>담당자 3</t>
    <phoneticPr fontId="2" type="noConversion"/>
  </si>
  <si>
    <t>연구원 박종은</t>
    <phoneticPr fontId="2" type="noConversion"/>
  </si>
  <si>
    <t>책임연구원 박길범</t>
    <phoneticPr fontId="2" type="noConversion"/>
  </si>
  <si>
    <t>부원장 임희상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</si>
</sst>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-* #,##0_-;\-* #,##0_-;_-@_-"/>
    <numFmt numFmtId="177" formatCode="#,##0_ "/>
    <numFmt numFmtId="178" formatCode="0\ &quot;인&quot;"/>
    <numFmt numFmtId="179" formatCode="0\ &quot;일&quot;"/>
    <numFmt numFmtId="180" formatCode="#,##0_);[Red]\(#,##0\)"/>
    <numFmt numFmtId="181" formatCode="#,###&quot;견적서&quot;"/>
  </numFmts>
  <fonts count="28">
    <font>
      <sz val="11"/>
      <name val="굴림체"/>
      <family val="3"/>
      <charset val="129"/>
    </font>
    <font>
      <sz val="11"/>
      <name val="굴림체"/>
      <family val="3"/>
      <charset val="129"/>
    </font>
    <font>
      <sz val="8"/>
      <name val="굴림체"/>
      <family val="3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0"/>
      <name val="Arial"/>
      <family val="2"/>
    </font>
    <font>
      <u/>
      <sz val="20"/>
      <name val="돋움체"/>
      <family val="3"/>
      <charset val="129"/>
    </font>
    <font>
      <sz val="11"/>
      <name val="돋움체"/>
      <family val="3"/>
      <charset val="129"/>
    </font>
    <font>
      <sz val="12"/>
      <name val="돋움체"/>
      <family val="3"/>
      <charset val="129"/>
    </font>
    <font>
      <sz val="24"/>
      <name val="휴먼옛체"/>
      <family val="1"/>
      <charset val="129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b/>
      <sz val="12"/>
      <color theme="0" tint="-4.9989318521683403E-2"/>
      <name val="굴림체"/>
      <family val="3"/>
      <charset val="129"/>
    </font>
    <font>
      <u/>
      <sz val="20"/>
      <name val="휴먼옛체"/>
      <family val="1"/>
      <charset val="129"/>
    </font>
    <font>
      <sz val="10"/>
      <name val="돋움체"/>
      <family val="3"/>
      <charset val="129"/>
    </font>
    <font>
      <b/>
      <u/>
      <sz val="20"/>
      <name val="휴먼옛체"/>
      <family val="3"/>
      <charset val="129"/>
    </font>
    <font>
      <sz val="10"/>
      <name val="나눔명조"/>
      <family val="1"/>
      <charset val="129"/>
    </font>
    <font>
      <sz val="11"/>
      <name val="나눔명조"/>
      <family val="1"/>
      <charset val="129"/>
    </font>
    <font>
      <sz val="12"/>
      <name val="나눔명조"/>
      <family val="1"/>
      <charset val="129"/>
    </font>
    <font>
      <b/>
      <sz val="10"/>
      <name val="나눔명조"/>
      <family val="1"/>
      <charset val="129"/>
    </font>
    <font>
      <sz val="11"/>
      <color indexed="8"/>
      <name val="HY휴먼명조"/>
      <family val="3"/>
      <charset val="129"/>
    </font>
    <font>
      <sz val="9"/>
      <color indexed="81"/>
      <name val="돋움"/>
      <family val="3"/>
      <charset val="129"/>
    </font>
    <font>
      <sz val="10"/>
      <color indexed="8"/>
      <name val="HY휴먼명조"/>
      <family val="3"/>
      <charset val="129"/>
    </font>
    <font>
      <sz val="9"/>
      <color indexed="81"/>
      <name val="Tahoma"/>
      <family val="2"/>
    </font>
    <font>
      <sz val="11"/>
      <name val="HY휴먼명조"/>
      <family val="3"/>
      <charset val="129"/>
    </font>
    <font>
      <sz val="10"/>
      <color rgb="FF000000"/>
      <name val="굴림"/>
      <family val="3"/>
      <charset val="129"/>
    </font>
    <font>
      <sz val="10"/>
      <color theme="1"/>
      <name val="나눔명조"/>
      <family val="1"/>
      <charset val="129"/>
    </font>
    <font>
      <sz val="10"/>
      <color theme="0"/>
      <name val="나눔명조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</cellStyleXfs>
  <cellXfs count="323">
    <xf numFmtId="0" fontId="0" fillId="0" borderId="0" xfId="0"/>
    <xf numFmtId="0" fontId="7" fillId="0" borderId="0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41" fontId="7" fillId="0" borderId="0" xfId="0" applyNumberFormat="1" applyFont="1" applyBorder="1" applyAlignment="1">
      <alignment vertical="center"/>
    </xf>
    <xf numFmtId="41" fontId="7" fillId="0" borderId="4" xfId="0" applyNumberFormat="1" applyFont="1" applyBorder="1" applyAlignment="1">
      <alignment vertical="center"/>
    </xf>
    <xf numFmtId="41" fontId="7" fillId="0" borderId="7" xfId="0" applyNumberFormat="1" applyFont="1" applyBorder="1" applyAlignment="1">
      <alignment vertical="center"/>
    </xf>
    <xf numFmtId="41" fontId="7" fillId="0" borderId="10" xfId="0" applyNumberFormat="1" applyFont="1" applyBorder="1" applyAlignment="1">
      <alignment vertical="center"/>
    </xf>
    <xf numFmtId="41" fontId="7" fillId="0" borderId="2" xfId="0" applyNumberFormat="1" applyFont="1" applyBorder="1" applyAlignment="1">
      <alignment vertical="center"/>
    </xf>
    <xf numFmtId="41" fontId="7" fillId="0" borderId="3" xfId="0" applyNumberFormat="1" applyFont="1" applyBorder="1" applyAlignment="1">
      <alignment vertical="center"/>
    </xf>
    <xf numFmtId="41" fontId="7" fillId="0" borderId="5" xfId="0" applyNumberFormat="1" applyFont="1" applyBorder="1" applyAlignment="1">
      <alignment vertical="center"/>
    </xf>
    <xf numFmtId="41" fontId="7" fillId="0" borderId="6" xfId="0" applyNumberFormat="1" applyFont="1" applyBorder="1" applyAlignment="1">
      <alignment vertical="center"/>
    </xf>
    <xf numFmtId="41" fontId="7" fillId="0" borderId="8" xfId="0" applyNumberFormat="1" applyFont="1" applyBorder="1" applyAlignment="1">
      <alignment vertical="center"/>
    </xf>
    <xf numFmtId="41" fontId="7" fillId="0" borderId="9" xfId="0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vertical="center"/>
    </xf>
    <xf numFmtId="0" fontId="12" fillId="4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29" xfId="0" applyFont="1" applyBorder="1" applyAlignment="1">
      <alignment vertical="center"/>
    </xf>
    <xf numFmtId="0" fontId="17" fillId="0" borderId="30" xfId="0" applyFont="1" applyBorder="1" applyAlignment="1">
      <alignment vertical="center"/>
    </xf>
    <xf numFmtId="3" fontId="16" fillId="0" borderId="23" xfId="0" applyNumberFormat="1" applyFont="1" applyBorder="1" applyAlignment="1">
      <alignment vertical="center"/>
    </xf>
    <xf numFmtId="3" fontId="16" fillId="0" borderId="29" xfId="0" applyNumberFormat="1" applyFont="1" applyBorder="1" applyAlignment="1">
      <alignment vertical="center"/>
    </xf>
    <xf numFmtId="3" fontId="16" fillId="0" borderId="54" xfId="0" applyNumberFormat="1" applyFont="1" applyBorder="1" applyAlignment="1">
      <alignment vertical="center"/>
    </xf>
    <xf numFmtId="3" fontId="16" fillId="0" borderId="24" xfId="0" applyNumberFormat="1" applyFont="1" applyBorder="1" applyAlignment="1">
      <alignment vertical="center"/>
    </xf>
    <xf numFmtId="3" fontId="16" fillId="0" borderId="31" xfId="0" applyNumberFormat="1" applyFont="1" applyBorder="1" applyAlignment="1">
      <alignment vertical="center"/>
    </xf>
    <xf numFmtId="3" fontId="16" fillId="0" borderId="49" xfId="0" applyNumberFormat="1" applyFont="1" applyBorder="1" applyAlignment="1">
      <alignment vertical="center"/>
    </xf>
    <xf numFmtId="41" fontId="16" fillId="0" borderId="25" xfId="5" applyFont="1" applyBorder="1" applyAlignment="1">
      <alignment vertical="center"/>
    </xf>
    <xf numFmtId="41" fontId="16" fillId="0" borderId="21" xfId="5" applyFont="1" applyBorder="1" applyAlignment="1">
      <alignment vertical="center"/>
    </xf>
    <xf numFmtId="41" fontId="16" fillId="0" borderId="33" xfId="5" applyFont="1" applyBorder="1" applyAlignment="1">
      <alignment vertical="center"/>
    </xf>
    <xf numFmtId="3" fontId="16" fillId="0" borderId="25" xfId="0" applyNumberFormat="1" applyFont="1" applyBorder="1" applyAlignment="1">
      <alignment vertical="center"/>
    </xf>
    <xf numFmtId="3" fontId="16" fillId="0" borderId="21" xfId="0" applyNumberFormat="1" applyFont="1" applyBorder="1" applyAlignment="1">
      <alignment vertical="center"/>
    </xf>
    <xf numFmtId="3" fontId="16" fillId="0" borderId="50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0" xfId="0" applyFont="1" applyBorder="1" applyAlignment="1">
      <alignment vertical="center"/>
    </xf>
    <xf numFmtId="0" fontId="16" fillId="7" borderId="53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 wrapText="1"/>
    </xf>
    <xf numFmtId="178" fontId="16" fillId="0" borderId="23" xfId="0" applyNumberFormat="1" applyFont="1" applyBorder="1" applyAlignment="1">
      <alignment horizontal="center" vertical="center"/>
    </xf>
    <xf numFmtId="179" fontId="16" fillId="0" borderId="23" xfId="0" applyNumberFormat="1" applyFont="1" applyBorder="1" applyAlignment="1">
      <alignment horizontal="center" vertical="center"/>
    </xf>
    <xf numFmtId="180" fontId="16" fillId="0" borderId="23" xfId="5" applyNumberFormat="1" applyFont="1" applyBorder="1" applyAlignment="1">
      <alignment horizontal="right" vertical="center"/>
    </xf>
    <xf numFmtId="178" fontId="16" fillId="0" borderId="24" xfId="0" applyNumberFormat="1" applyFont="1" applyBorder="1" applyAlignment="1">
      <alignment horizontal="center" vertical="center"/>
    </xf>
    <xf numFmtId="179" fontId="16" fillId="0" borderId="24" xfId="0" applyNumberFormat="1" applyFont="1" applyBorder="1" applyAlignment="1">
      <alignment horizontal="center" vertical="center"/>
    </xf>
    <xf numFmtId="180" fontId="16" fillId="0" borderId="24" xfId="5" applyNumberFormat="1" applyFont="1" applyBorder="1" applyAlignment="1">
      <alignment horizontal="right" vertical="center"/>
    </xf>
    <xf numFmtId="178" fontId="16" fillId="0" borderId="25" xfId="0" applyNumberFormat="1" applyFont="1" applyBorder="1" applyAlignment="1">
      <alignment horizontal="center" vertical="center"/>
    </xf>
    <xf numFmtId="179" fontId="16" fillId="0" borderId="25" xfId="0" applyNumberFormat="1" applyFont="1" applyBorder="1" applyAlignment="1">
      <alignment horizontal="center" vertical="center"/>
    </xf>
    <xf numFmtId="180" fontId="16" fillId="0" borderId="25" xfId="5" applyNumberFormat="1" applyFont="1" applyBorder="1" applyAlignment="1">
      <alignment horizontal="right" vertical="center"/>
    </xf>
    <xf numFmtId="0" fontId="16" fillId="7" borderId="52" xfId="0" applyFont="1" applyFill="1" applyBorder="1" applyAlignment="1">
      <alignment horizontal="center" vertical="center"/>
    </xf>
    <xf numFmtId="176" fontId="16" fillId="0" borderId="26" xfId="0" applyNumberFormat="1" applyFont="1" applyBorder="1" applyAlignment="1">
      <alignment horizontal="left" vertical="center"/>
    </xf>
    <xf numFmtId="176" fontId="16" fillId="0" borderId="0" xfId="0" applyNumberFormat="1" applyFont="1" applyBorder="1" applyAlignment="1">
      <alignment horizontal="left" vertical="center"/>
    </xf>
    <xf numFmtId="176" fontId="16" fillId="0" borderId="19" xfId="0" applyNumberFormat="1" applyFont="1" applyBorder="1" applyAlignment="1">
      <alignment horizontal="left" vertical="center"/>
    </xf>
    <xf numFmtId="176" fontId="16" fillId="0" borderId="27" xfId="0" applyNumberFormat="1" applyFont="1" applyBorder="1" applyAlignment="1">
      <alignment horizontal="left" vertical="center"/>
    </xf>
    <xf numFmtId="176" fontId="16" fillId="0" borderId="28" xfId="0" applyNumberFormat="1" applyFont="1" applyBorder="1" applyAlignment="1">
      <alignment horizontal="left" vertical="center"/>
    </xf>
    <xf numFmtId="0" fontId="16" fillId="0" borderId="29" xfId="0" applyNumberFormat="1" applyFont="1" applyBorder="1" applyAlignment="1">
      <alignment horizontal="center" vertical="center"/>
    </xf>
    <xf numFmtId="0" fontId="16" fillId="0" borderId="30" xfId="0" applyNumberFormat="1" applyFont="1" applyBorder="1" applyAlignment="1">
      <alignment horizontal="center" vertical="center"/>
    </xf>
    <xf numFmtId="0" fontId="16" fillId="0" borderId="31" xfId="0" applyNumberFormat="1" applyFont="1" applyBorder="1" applyAlignment="1">
      <alignment horizontal="center" vertical="center"/>
    </xf>
    <xf numFmtId="0" fontId="16" fillId="0" borderId="32" xfId="0" applyNumberFormat="1" applyFont="1" applyBorder="1" applyAlignment="1">
      <alignment horizontal="center" vertical="center"/>
    </xf>
    <xf numFmtId="0" fontId="16" fillId="0" borderId="31" xfId="5" applyNumberFormat="1" applyFont="1" applyBorder="1" applyAlignment="1">
      <alignment horizontal="left" vertical="center"/>
    </xf>
    <xf numFmtId="0" fontId="16" fillId="0" borderId="32" xfId="5" applyNumberFormat="1" applyFont="1" applyBorder="1" applyAlignment="1">
      <alignment horizontal="left" vertical="center"/>
    </xf>
    <xf numFmtId="0" fontId="16" fillId="0" borderId="21" xfId="0" applyNumberFormat="1" applyFont="1" applyBorder="1" applyAlignment="1">
      <alignment horizontal="left" vertical="center"/>
    </xf>
    <xf numFmtId="0" fontId="16" fillId="0" borderId="33" xfId="0" applyNumberFormat="1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3" borderId="0" xfId="0" applyFont="1" applyFill="1" applyAlignment="1">
      <alignment vertical="center"/>
    </xf>
    <xf numFmtId="0" fontId="17" fillId="0" borderId="1" xfId="0" applyFont="1" applyBorder="1" applyAlignment="1">
      <alignment vertical="center"/>
    </xf>
    <xf numFmtId="180" fontId="16" fillId="0" borderId="23" xfId="5" applyNumberFormat="1" applyFont="1" applyBorder="1" applyAlignment="1">
      <alignment horizontal="center" vertical="center"/>
    </xf>
    <xf numFmtId="180" fontId="16" fillId="0" borderId="24" xfId="5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181" fontId="9" fillId="0" borderId="0" xfId="0" applyNumberFormat="1" applyFont="1" applyFill="1" applyBorder="1" applyAlignment="1">
      <alignment vertical="center" wrapText="1"/>
    </xf>
    <xf numFmtId="0" fontId="14" fillId="0" borderId="0" xfId="0" applyFont="1" applyFill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justify" vertical="center"/>
    </xf>
    <xf numFmtId="49" fontId="11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 wrapText="1" shrinkToFit="1"/>
    </xf>
    <xf numFmtId="0" fontId="8" fillId="0" borderId="0" xfId="0" applyFont="1" applyFill="1" applyBorder="1" applyAlignment="1">
      <alignment horizontal="justify" vertical="center"/>
    </xf>
    <xf numFmtId="49" fontId="10" fillId="0" borderId="0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distributed" vertical="center"/>
    </xf>
    <xf numFmtId="0" fontId="10" fillId="0" borderId="0" xfId="0" applyFont="1" applyFill="1" applyBorder="1" applyAlignment="1">
      <alignment horizontal="justify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20" fillId="0" borderId="0" xfId="0" applyFont="1" applyFill="1"/>
    <xf numFmtId="0" fontId="20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9" fontId="7" fillId="0" borderId="7" xfId="3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9" fontId="7" fillId="0" borderId="0" xfId="0" applyNumberFormat="1" applyFont="1" applyFill="1" applyBorder="1" applyAlignment="1">
      <alignment horizontal="center" vertical="center"/>
    </xf>
    <xf numFmtId="41" fontId="7" fillId="0" borderId="0" xfId="0" applyNumberFormat="1" applyFont="1" applyFill="1" applyBorder="1" applyAlignment="1">
      <alignment horizontal="center" vertical="center"/>
    </xf>
    <xf numFmtId="41" fontId="7" fillId="0" borderId="0" xfId="0" applyNumberFormat="1" applyFont="1" applyFill="1" applyBorder="1" applyAlignment="1">
      <alignment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41" fontId="7" fillId="0" borderId="0" xfId="5" applyFont="1" applyFill="1" applyBorder="1" applyAlignment="1">
      <alignment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41" fontId="14" fillId="0" borderId="6" xfId="5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41" fontId="7" fillId="0" borderId="0" xfId="5" applyFont="1" applyFill="1" applyBorder="1" applyAlignment="1">
      <alignment horizontal="center" vertical="center"/>
    </xf>
    <xf numFmtId="0" fontId="20" fillId="0" borderId="71" xfId="0" applyFont="1" applyFill="1" applyBorder="1" applyAlignment="1">
      <alignment horizontal="center" vertical="center"/>
    </xf>
    <xf numFmtId="0" fontId="20" fillId="0" borderId="75" xfId="0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0" fontId="22" fillId="0" borderId="75" xfId="0" applyFont="1" applyFill="1" applyBorder="1" applyAlignment="1">
      <alignment horizontal="center" vertical="center"/>
    </xf>
    <xf numFmtId="0" fontId="20" fillId="0" borderId="83" xfId="0" applyFont="1" applyFill="1" applyBorder="1" applyAlignment="1">
      <alignment horizontal="center" vertical="center"/>
    </xf>
    <xf numFmtId="0" fontId="20" fillId="0" borderId="51" xfId="0" applyFont="1" applyFill="1" applyBorder="1" applyAlignment="1">
      <alignment horizontal="center" vertical="center"/>
    </xf>
    <xf numFmtId="0" fontId="20" fillId="0" borderId="84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1" fontId="16" fillId="0" borderId="23" xfId="0" applyNumberFormat="1" applyFont="1" applyBorder="1" applyAlignment="1">
      <alignment vertical="center"/>
    </xf>
    <xf numFmtId="41" fontId="16" fillId="0" borderId="29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14" fillId="8" borderId="0" xfId="0" applyFont="1" applyFill="1" applyAlignment="1">
      <alignment vertical="center"/>
    </xf>
    <xf numFmtId="41" fontId="16" fillId="0" borderId="47" xfId="0" applyNumberFormat="1" applyFont="1" applyBorder="1" applyAlignment="1">
      <alignment vertical="center"/>
    </xf>
    <xf numFmtId="41" fontId="16" fillId="0" borderId="19" xfId="0" applyNumberFormat="1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85" xfId="0" applyFont="1" applyBorder="1" applyAlignment="1">
      <alignment vertical="center"/>
    </xf>
    <xf numFmtId="0" fontId="24" fillId="0" borderId="79" xfId="0" applyFont="1" applyFill="1" applyBorder="1" applyAlignment="1">
      <alignment horizontal="center" vertical="center"/>
    </xf>
    <xf numFmtId="0" fontId="24" fillId="0" borderId="67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4" fillId="0" borderId="33" xfId="0" applyFont="1" applyFill="1" applyBorder="1" applyAlignment="1">
      <alignment horizontal="center" vertical="center"/>
    </xf>
    <xf numFmtId="0" fontId="24" fillId="0" borderId="66" xfId="0" applyFont="1" applyFill="1" applyBorder="1" applyAlignment="1">
      <alignment horizontal="center" vertical="center"/>
    </xf>
    <xf numFmtId="0" fontId="24" fillId="0" borderId="76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24" fillId="0" borderId="77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24" fillId="0" borderId="7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10" fillId="2" borderId="0" xfId="0" applyNumberFormat="1" applyFont="1" applyFill="1" applyBorder="1" applyAlignment="1">
      <alignment horizontal="right" vertical="center"/>
    </xf>
    <xf numFmtId="0" fontId="16" fillId="2" borderId="1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6" fillId="2" borderId="19" xfId="0" applyFont="1" applyFill="1" applyBorder="1" applyAlignment="1">
      <alignment horizontal="distributed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8" fillId="2" borderId="3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wrapText="1"/>
    </xf>
    <xf numFmtId="14" fontId="7" fillId="0" borderId="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18" fillId="2" borderId="51" xfId="0" applyNumberFormat="1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distributed" vertical="center"/>
    </xf>
    <xf numFmtId="0" fontId="16" fillId="2" borderId="5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6" fillId="2" borderId="31" xfId="0" applyFont="1" applyFill="1" applyBorder="1" applyAlignment="1">
      <alignment horizontal="distributed" vertical="center"/>
    </xf>
    <xf numFmtId="0" fontId="16" fillId="2" borderId="31" xfId="0" applyFont="1" applyFill="1" applyBorder="1" applyAlignment="1">
      <alignment horizontal="center" vertical="center"/>
    </xf>
    <xf numFmtId="41" fontId="11" fillId="0" borderId="0" xfId="0" applyNumberFormat="1" applyFont="1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180" fontId="27" fillId="0" borderId="24" xfId="5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distributed"/>
    </xf>
    <xf numFmtId="0" fontId="18" fillId="0" borderId="0" xfId="0" applyFont="1" applyAlignment="1">
      <alignment horizontal="left" vertical="center" shrinkToFit="1"/>
    </xf>
    <xf numFmtId="49" fontId="10" fillId="0" borderId="0" xfId="0" applyNumberFormat="1" applyFont="1" applyFill="1" applyBorder="1" applyAlignment="1">
      <alignment horizontal="right" vertical="center"/>
    </xf>
    <xf numFmtId="0" fontId="16" fillId="2" borderId="19" xfId="0" applyFont="1" applyFill="1" applyBorder="1" applyAlignment="1">
      <alignment horizontal="left" vertical="center"/>
    </xf>
    <xf numFmtId="41" fontId="16" fillId="0" borderId="36" xfId="5" applyFont="1" applyBorder="1" applyAlignment="1">
      <alignment horizontal="center" vertical="center"/>
    </xf>
    <xf numFmtId="41" fontId="16" fillId="0" borderId="31" xfId="5" applyFont="1" applyBorder="1" applyAlignment="1">
      <alignment horizontal="center" vertical="center"/>
    </xf>
    <xf numFmtId="41" fontId="16" fillId="0" borderId="32" xfId="5" applyFont="1" applyBorder="1" applyAlignment="1">
      <alignment horizontal="center" vertical="center"/>
    </xf>
    <xf numFmtId="41" fontId="16" fillId="0" borderId="24" xfId="5" applyFont="1" applyBorder="1" applyAlignment="1">
      <alignment horizontal="right" vertical="center"/>
    </xf>
    <xf numFmtId="41" fontId="16" fillId="0" borderId="49" xfId="5" applyFont="1" applyBorder="1" applyAlignment="1">
      <alignment horizontal="right" vertical="center"/>
    </xf>
    <xf numFmtId="41" fontId="16" fillId="0" borderId="37" xfId="5" applyFont="1" applyBorder="1" applyAlignment="1">
      <alignment horizontal="center" vertical="center"/>
    </xf>
    <xf numFmtId="41" fontId="16" fillId="0" borderId="21" xfId="5" applyFont="1" applyBorder="1" applyAlignment="1">
      <alignment horizontal="center" vertical="center"/>
    </xf>
    <xf numFmtId="41" fontId="16" fillId="0" borderId="33" xfId="5" applyFont="1" applyBorder="1" applyAlignment="1">
      <alignment horizontal="center" vertical="center"/>
    </xf>
    <xf numFmtId="41" fontId="19" fillId="0" borderId="25" xfId="5" applyFont="1" applyBorder="1" applyAlignment="1">
      <alignment horizontal="right" vertical="center"/>
    </xf>
    <xf numFmtId="41" fontId="19" fillId="0" borderId="50" xfId="5" applyFont="1" applyBorder="1" applyAlignment="1">
      <alignment horizontal="right" vertical="center"/>
    </xf>
    <xf numFmtId="41" fontId="16" fillId="0" borderId="36" xfId="5" applyFont="1" applyBorder="1" applyAlignment="1">
      <alignment horizontal="left" vertical="center"/>
    </xf>
    <xf numFmtId="41" fontId="16" fillId="0" borderId="31" xfId="5" applyFont="1" applyBorder="1" applyAlignment="1">
      <alignment horizontal="left" vertical="center"/>
    </xf>
    <xf numFmtId="41" fontId="16" fillId="0" borderId="32" xfId="5" applyFont="1" applyBorder="1" applyAlignment="1">
      <alignment horizontal="left" vertical="center"/>
    </xf>
    <xf numFmtId="176" fontId="16" fillId="0" borderId="24" xfId="0" applyNumberFormat="1" applyFont="1" applyBorder="1" applyAlignment="1">
      <alignment horizontal="left" vertical="center"/>
    </xf>
    <xf numFmtId="176" fontId="16" fillId="0" borderId="32" xfId="0" applyNumberFormat="1" applyFont="1" applyBorder="1" applyAlignment="1">
      <alignment horizontal="left" vertical="center"/>
    </xf>
    <xf numFmtId="41" fontId="19" fillId="0" borderId="22" xfId="5" applyFont="1" applyBorder="1" applyAlignment="1">
      <alignment horizontal="right" vertical="center"/>
    </xf>
    <xf numFmtId="41" fontId="19" fillId="0" borderId="86" xfId="5" applyFont="1" applyBorder="1" applyAlignment="1">
      <alignment horizontal="right" vertical="center"/>
    </xf>
    <xf numFmtId="41" fontId="16" fillId="0" borderId="35" xfId="5" applyFont="1" applyBorder="1" applyAlignment="1">
      <alignment horizontal="center" vertical="center"/>
    </xf>
    <xf numFmtId="41" fontId="16" fillId="0" borderId="29" xfId="5" applyFont="1" applyBorder="1" applyAlignment="1">
      <alignment horizontal="center" vertical="center"/>
    </xf>
    <xf numFmtId="41" fontId="16" fillId="0" borderId="30" xfId="5" applyFont="1" applyBorder="1" applyAlignment="1">
      <alignment horizontal="center" vertical="center"/>
    </xf>
    <xf numFmtId="41" fontId="16" fillId="0" borderId="23" xfId="5" applyFont="1" applyBorder="1" applyAlignment="1">
      <alignment horizontal="right" vertical="center"/>
    </xf>
    <xf numFmtId="41" fontId="16" fillId="0" borderId="54" xfId="5" applyFont="1" applyBorder="1" applyAlignment="1">
      <alignment horizontal="right" vertical="center"/>
    </xf>
    <xf numFmtId="41" fontId="16" fillId="0" borderId="47" xfId="5" applyFont="1" applyBorder="1" applyAlignment="1">
      <alignment horizontal="right" vertical="center"/>
    </xf>
    <xf numFmtId="41" fontId="16" fillId="0" borderId="48" xfId="5" applyFont="1" applyBorder="1" applyAlignment="1">
      <alignment horizontal="right" vertical="center"/>
    </xf>
    <xf numFmtId="176" fontId="26" fillId="0" borderId="24" xfId="0" applyNumberFormat="1" applyFont="1" applyBorder="1" applyAlignment="1">
      <alignment horizontal="left" vertical="center"/>
    </xf>
    <xf numFmtId="176" fontId="26" fillId="0" borderId="32" xfId="0" applyNumberFormat="1" applyFont="1" applyBorder="1" applyAlignment="1">
      <alignment horizontal="left" vertical="center"/>
    </xf>
    <xf numFmtId="0" fontId="10" fillId="2" borderId="0" xfId="0" applyFont="1" applyFill="1" applyBorder="1" applyAlignment="1">
      <alignment horizontal="distributed" vertical="center"/>
    </xf>
    <xf numFmtId="0" fontId="16" fillId="7" borderId="53" xfId="0" applyFont="1" applyFill="1" applyBorder="1" applyAlignment="1">
      <alignment horizontal="center" vertical="center"/>
    </xf>
    <xf numFmtId="0" fontId="16" fillId="7" borderId="67" xfId="0" applyFont="1" applyFill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textRotation="255"/>
    </xf>
    <xf numFmtId="0" fontId="16" fillId="0" borderId="57" xfId="0" applyFont="1" applyBorder="1" applyAlignment="1">
      <alignment horizontal="center" vertical="center" textRotation="255"/>
    </xf>
    <xf numFmtId="0" fontId="16" fillId="0" borderId="59" xfId="0" applyFont="1" applyBorder="1" applyAlignment="1">
      <alignment horizontal="center" vertical="center" textRotation="255"/>
    </xf>
    <xf numFmtId="0" fontId="16" fillId="7" borderId="60" xfId="0" applyFont="1" applyFill="1" applyBorder="1" applyAlignment="1">
      <alignment horizontal="center" vertical="center"/>
    </xf>
    <xf numFmtId="0" fontId="16" fillId="7" borderId="52" xfId="0" applyFont="1" applyFill="1" applyBorder="1" applyAlignment="1">
      <alignment horizontal="center" vertical="center"/>
    </xf>
    <xf numFmtId="0" fontId="16" fillId="7" borderId="61" xfId="0" applyFont="1" applyFill="1" applyBorder="1" applyAlignment="1">
      <alignment horizontal="center" vertical="center"/>
    </xf>
    <xf numFmtId="41" fontId="16" fillId="0" borderId="35" xfId="5" applyFont="1" applyBorder="1" applyAlignment="1">
      <alignment horizontal="left" vertical="center"/>
    </xf>
    <xf numFmtId="41" fontId="16" fillId="0" borderId="29" xfId="5" applyFont="1" applyBorder="1" applyAlignment="1">
      <alignment horizontal="left" vertical="center"/>
    </xf>
    <xf numFmtId="41" fontId="16" fillId="0" borderId="30" xfId="5" applyFont="1" applyBorder="1" applyAlignment="1">
      <alignment horizontal="left" vertical="center"/>
    </xf>
    <xf numFmtId="41" fontId="16" fillId="0" borderId="55" xfId="5" applyFont="1" applyBorder="1" applyAlignment="1">
      <alignment horizontal="center" vertical="center"/>
    </xf>
    <xf numFmtId="41" fontId="16" fillId="0" borderId="27" xfId="5" applyFont="1" applyBorder="1" applyAlignment="1">
      <alignment horizontal="center" vertical="center"/>
    </xf>
    <xf numFmtId="41" fontId="16" fillId="0" borderId="56" xfId="5" applyFont="1" applyBorder="1" applyAlignment="1">
      <alignment horizontal="center" vertical="center"/>
    </xf>
    <xf numFmtId="0" fontId="16" fillId="7" borderId="34" xfId="0" applyFont="1" applyFill="1" applyBorder="1" applyAlignment="1">
      <alignment horizontal="center" vertical="center"/>
    </xf>
    <xf numFmtId="0" fontId="16" fillId="7" borderId="40" xfId="0" applyFont="1" applyFill="1" applyBorder="1" applyAlignment="1">
      <alignment horizontal="center" vertical="center"/>
    </xf>
    <xf numFmtId="0" fontId="16" fillId="7" borderId="38" xfId="0" applyFont="1" applyFill="1" applyBorder="1" applyAlignment="1">
      <alignment horizontal="center" vertical="center"/>
    </xf>
    <xf numFmtId="0" fontId="16" fillId="7" borderId="42" xfId="0" applyFont="1" applyFill="1" applyBorder="1" applyAlignment="1">
      <alignment horizontal="center" vertical="center"/>
    </xf>
    <xf numFmtId="0" fontId="16" fillId="7" borderId="45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distributed" vertical="center"/>
    </xf>
    <xf numFmtId="0" fontId="16" fillId="0" borderId="30" xfId="0" applyFont="1" applyBorder="1" applyAlignment="1">
      <alignment horizontal="distributed" vertical="center"/>
    </xf>
    <xf numFmtId="0" fontId="16" fillId="0" borderId="24" xfId="0" applyFont="1" applyBorder="1" applyAlignment="1">
      <alignment horizontal="distributed" vertical="center"/>
    </xf>
    <xf numFmtId="0" fontId="16" fillId="0" borderId="32" xfId="0" applyFont="1" applyBorder="1" applyAlignment="1">
      <alignment horizontal="distributed" vertical="center"/>
    </xf>
    <xf numFmtId="0" fontId="16" fillId="0" borderId="25" xfId="0" applyFont="1" applyBorder="1" applyAlignment="1">
      <alignment horizontal="distributed" vertical="center"/>
    </xf>
    <xf numFmtId="0" fontId="16" fillId="0" borderId="33" xfId="0" applyFont="1" applyBorder="1" applyAlignment="1">
      <alignment horizontal="distributed" vertical="center"/>
    </xf>
    <xf numFmtId="181" fontId="13" fillId="0" borderId="0" xfId="0" applyNumberFormat="1" applyFont="1" applyAlignment="1">
      <alignment horizontal="center" vertical="center" wrapText="1"/>
    </xf>
    <xf numFmtId="0" fontId="16" fillId="7" borderId="68" xfId="0" applyFont="1" applyFill="1" applyBorder="1" applyAlignment="1">
      <alignment horizontal="center" vertical="center"/>
    </xf>
    <xf numFmtId="0" fontId="16" fillId="7" borderId="69" xfId="0" applyFont="1" applyFill="1" applyBorder="1" applyAlignment="1">
      <alignment horizontal="center" vertical="center"/>
    </xf>
    <xf numFmtId="0" fontId="16" fillId="7" borderId="39" xfId="0" applyFont="1" applyFill="1" applyBorder="1" applyAlignment="1">
      <alignment horizontal="center" vertical="center"/>
    </xf>
    <xf numFmtId="0" fontId="16" fillId="7" borderId="41" xfId="0" applyFont="1" applyFill="1" applyBorder="1" applyAlignment="1">
      <alignment horizontal="center" vertical="center"/>
    </xf>
    <xf numFmtId="0" fontId="16" fillId="7" borderId="44" xfId="0" applyFont="1" applyFill="1" applyBorder="1" applyAlignment="1">
      <alignment horizontal="center" vertical="center"/>
    </xf>
    <xf numFmtId="0" fontId="16" fillId="7" borderId="46" xfId="0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left" vertical="center" shrinkToFit="1"/>
    </xf>
    <xf numFmtId="0" fontId="16" fillId="2" borderId="31" xfId="0" applyFont="1" applyFill="1" applyBorder="1" applyAlignment="1">
      <alignment horizontal="left" vertical="center" wrapText="1"/>
    </xf>
    <xf numFmtId="0" fontId="16" fillId="2" borderId="31" xfId="0" applyFont="1" applyFill="1" applyBorder="1" applyAlignment="1">
      <alignment horizontal="left" vertical="center"/>
    </xf>
    <xf numFmtId="41" fontId="16" fillId="2" borderId="31" xfId="0" quotePrefix="1" applyNumberFormat="1" applyFont="1" applyFill="1" applyBorder="1" applyAlignment="1">
      <alignment horizontal="left" vertical="center" wrapText="1"/>
    </xf>
    <xf numFmtId="0" fontId="16" fillId="2" borderId="51" xfId="0" applyFont="1" applyFill="1" applyBorder="1" applyAlignment="1">
      <alignment horizontal="left" vertical="center" wrapText="1"/>
    </xf>
    <xf numFmtId="0" fontId="20" fillId="0" borderId="80" xfId="0" applyFont="1" applyFill="1" applyBorder="1" applyAlignment="1">
      <alignment horizontal="center" vertical="center"/>
    </xf>
    <xf numFmtId="0" fontId="20" fillId="0" borderId="81" xfId="0" applyFont="1" applyFill="1" applyBorder="1" applyAlignment="1">
      <alignment horizontal="center" vertical="center"/>
    </xf>
    <xf numFmtId="0" fontId="20" fillId="0" borderId="82" xfId="0" applyFont="1" applyFill="1" applyBorder="1" applyAlignment="1">
      <alignment horizontal="center" vertical="center"/>
    </xf>
    <xf numFmtId="0" fontId="20" fillId="0" borderId="72" xfId="0" applyFont="1" applyFill="1" applyBorder="1" applyAlignment="1">
      <alignment horizontal="center" vertical="center" wrapText="1"/>
    </xf>
    <xf numFmtId="0" fontId="20" fillId="0" borderId="73" xfId="0" applyFont="1" applyFill="1" applyBorder="1" applyAlignment="1">
      <alignment horizontal="center" vertical="center"/>
    </xf>
    <xf numFmtId="0" fontId="20" fillId="0" borderId="74" xfId="0" applyFont="1" applyFill="1" applyBorder="1" applyAlignment="1">
      <alignment horizontal="center" vertical="center"/>
    </xf>
    <xf numFmtId="0" fontId="16" fillId="0" borderId="57" xfId="0" applyFont="1" applyBorder="1" applyAlignment="1">
      <alignment horizontal="distributed" vertical="center" textRotation="255"/>
    </xf>
    <xf numFmtId="41" fontId="16" fillId="0" borderId="1" xfId="5" applyFont="1" applyBorder="1" applyAlignment="1">
      <alignment horizontal="right" vertical="center"/>
    </xf>
    <xf numFmtId="41" fontId="16" fillId="0" borderId="58" xfId="5" applyFont="1" applyBorder="1" applyAlignment="1">
      <alignment horizontal="right" vertical="center"/>
    </xf>
    <xf numFmtId="0" fontId="16" fillId="7" borderId="62" xfId="0" applyFont="1" applyFill="1" applyBorder="1" applyAlignment="1">
      <alignment horizontal="center" vertical="center"/>
    </xf>
    <xf numFmtId="0" fontId="16" fillId="7" borderId="63" xfId="0" applyFont="1" applyFill="1" applyBorder="1" applyAlignment="1">
      <alignment horizontal="center" vertical="center"/>
    </xf>
    <xf numFmtId="177" fontId="16" fillId="0" borderId="64" xfId="5" applyNumberFormat="1" applyFont="1" applyBorder="1" applyAlignment="1">
      <alignment horizontal="right" vertical="center"/>
    </xf>
    <xf numFmtId="177" fontId="16" fillId="0" borderId="65" xfId="5" applyNumberFormat="1" applyFont="1" applyBorder="1" applyAlignment="1">
      <alignment horizontal="right" vertical="center"/>
    </xf>
    <xf numFmtId="9" fontId="16" fillId="0" borderId="23" xfId="0" applyNumberFormat="1" applyFont="1" applyBorder="1" applyAlignment="1">
      <alignment horizontal="center" vertical="center"/>
    </xf>
    <xf numFmtId="41" fontId="16" fillId="0" borderId="29" xfId="0" applyNumberFormat="1" applyFont="1" applyBorder="1" applyAlignment="1">
      <alignment horizontal="center" vertical="center"/>
    </xf>
    <xf numFmtId="41" fontId="16" fillId="0" borderId="30" xfId="0" applyNumberFormat="1" applyFont="1" applyBorder="1" applyAlignment="1">
      <alignment horizontal="center" vertical="center"/>
    </xf>
    <xf numFmtId="41" fontId="16" fillId="0" borderId="23" xfId="0" applyNumberFormat="1" applyFont="1" applyBorder="1" applyAlignment="1">
      <alignment vertical="center"/>
    </xf>
    <xf numFmtId="41" fontId="16" fillId="0" borderId="29" xfId="0" applyNumberFormat="1" applyFont="1" applyBorder="1" applyAlignment="1">
      <alignment vertical="center"/>
    </xf>
    <xf numFmtId="41" fontId="16" fillId="0" borderId="30" xfId="0" applyNumberFormat="1" applyFont="1" applyBorder="1" applyAlignment="1">
      <alignment vertical="center"/>
    </xf>
    <xf numFmtId="41" fontId="16" fillId="0" borderId="25" xfId="0" applyNumberFormat="1" applyFont="1" applyBorder="1" applyAlignment="1">
      <alignment vertical="center"/>
    </xf>
    <xf numFmtId="41" fontId="16" fillId="0" borderId="21" xfId="0" applyNumberFormat="1" applyFont="1" applyBorder="1" applyAlignment="1">
      <alignment vertical="center"/>
    </xf>
    <xf numFmtId="41" fontId="16" fillId="0" borderId="33" xfId="0" applyNumberFormat="1" applyFont="1" applyBorder="1" applyAlignment="1">
      <alignment vertical="center"/>
    </xf>
    <xf numFmtId="41" fontId="16" fillId="0" borderId="24" xfId="0" applyNumberFormat="1" applyFont="1" applyBorder="1" applyAlignment="1">
      <alignment vertical="center"/>
    </xf>
    <xf numFmtId="41" fontId="16" fillId="0" borderId="31" xfId="0" applyNumberFormat="1" applyFont="1" applyBorder="1" applyAlignment="1">
      <alignment vertical="center"/>
    </xf>
    <xf numFmtId="41" fontId="16" fillId="0" borderId="49" xfId="0" applyNumberFormat="1" applyFont="1" applyBorder="1" applyAlignment="1">
      <alignment vertical="center"/>
    </xf>
    <xf numFmtId="0" fontId="16" fillId="0" borderId="36" xfId="0" applyFont="1" applyBorder="1" applyAlignment="1">
      <alignment horizontal="distributed" vertical="center" indent="1"/>
    </xf>
    <xf numFmtId="0" fontId="16" fillId="0" borderId="31" xfId="0" applyFont="1" applyBorder="1" applyAlignment="1">
      <alignment horizontal="distributed" vertical="center" indent="1"/>
    </xf>
    <xf numFmtId="0" fontId="16" fillId="0" borderId="32" xfId="0" applyFont="1" applyBorder="1" applyAlignment="1">
      <alignment horizontal="distributed" vertical="center" indent="1"/>
    </xf>
    <xf numFmtId="9" fontId="16" fillId="0" borderId="24" xfId="3" applyFont="1" applyBorder="1" applyAlignment="1">
      <alignment horizontal="center" vertical="center"/>
    </xf>
    <xf numFmtId="9" fontId="16" fillId="0" borderId="31" xfId="3" applyFont="1" applyBorder="1" applyAlignment="1">
      <alignment horizontal="center" vertical="center"/>
    </xf>
    <xf numFmtId="9" fontId="16" fillId="0" borderId="32" xfId="3" applyFont="1" applyBorder="1" applyAlignment="1">
      <alignment horizontal="center" vertical="center"/>
    </xf>
    <xf numFmtId="41" fontId="16" fillId="0" borderId="32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6" fillId="7" borderId="70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41" fontId="16" fillId="0" borderId="50" xfId="0" applyNumberFormat="1" applyFont="1" applyBorder="1" applyAlignment="1">
      <alignment vertical="center"/>
    </xf>
    <xf numFmtId="0" fontId="16" fillId="0" borderId="37" xfId="0" applyFont="1" applyBorder="1" applyAlignment="1">
      <alignment horizontal="distributed" vertical="center" indent="1"/>
    </xf>
    <xf numFmtId="0" fontId="16" fillId="0" borderId="21" xfId="0" applyFont="1" applyBorder="1" applyAlignment="1">
      <alignment horizontal="distributed" vertical="center" indent="1"/>
    </xf>
    <xf numFmtId="0" fontId="16" fillId="0" borderId="33" xfId="0" applyFont="1" applyBorder="1" applyAlignment="1">
      <alignment horizontal="distributed" vertical="center" indent="1"/>
    </xf>
    <xf numFmtId="9" fontId="16" fillId="0" borderId="25" xfId="3" applyFont="1" applyBorder="1" applyAlignment="1">
      <alignment horizontal="center" vertical="center"/>
    </xf>
    <xf numFmtId="9" fontId="16" fillId="0" borderId="21" xfId="3" applyFont="1" applyBorder="1" applyAlignment="1">
      <alignment horizontal="center" vertical="center"/>
    </xf>
    <xf numFmtId="9" fontId="16" fillId="0" borderId="33" xfId="3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41" fontId="16" fillId="0" borderId="19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6" fillId="0" borderId="35" xfId="0" applyFont="1" applyBorder="1" applyAlignment="1">
      <alignment horizontal="distributed" vertical="center" indent="1"/>
    </xf>
    <xf numFmtId="0" fontId="16" fillId="0" borderId="29" xfId="0" applyFont="1" applyBorder="1" applyAlignment="1">
      <alignment horizontal="distributed" vertical="center" indent="1"/>
    </xf>
    <xf numFmtId="0" fontId="16" fillId="0" borderId="30" xfId="0" applyFont="1" applyBorder="1" applyAlignment="1">
      <alignment horizontal="distributed" vertical="center" indent="1"/>
    </xf>
    <xf numFmtId="41" fontId="16" fillId="0" borderId="54" xfId="0" applyNumberFormat="1" applyFont="1" applyBorder="1" applyAlignment="1">
      <alignment vertical="center"/>
    </xf>
    <xf numFmtId="41" fontId="16" fillId="0" borderId="87" xfId="0" applyNumberFormat="1" applyFont="1" applyFill="1" applyBorder="1" applyAlignment="1">
      <alignment vertical="center"/>
    </xf>
    <xf numFmtId="41" fontId="16" fillId="0" borderId="20" xfId="0" applyNumberFormat="1" applyFont="1" applyFill="1" applyBorder="1" applyAlignment="1">
      <alignment vertical="center"/>
    </xf>
    <xf numFmtId="41" fontId="16" fillId="0" borderId="88" xfId="0" applyNumberFormat="1" applyFont="1" applyFill="1" applyBorder="1" applyAlignment="1">
      <alignment vertical="center"/>
    </xf>
    <xf numFmtId="41" fontId="16" fillId="0" borderId="47" xfId="0" applyNumberFormat="1" applyFont="1" applyFill="1" applyBorder="1" applyAlignment="1">
      <alignment vertical="center"/>
    </xf>
    <xf numFmtId="41" fontId="16" fillId="0" borderId="19" xfId="0" applyNumberFormat="1" applyFont="1" applyFill="1" applyBorder="1" applyAlignment="1">
      <alignment vertical="center"/>
    </xf>
    <xf numFmtId="41" fontId="16" fillId="0" borderId="85" xfId="0" applyNumberFormat="1" applyFont="1" applyFill="1" applyBorder="1" applyAlignment="1">
      <alignment vertical="center"/>
    </xf>
    <xf numFmtId="41" fontId="16" fillId="0" borderId="23" xfId="0" applyNumberFormat="1" applyFont="1" applyFill="1" applyBorder="1" applyAlignment="1">
      <alignment vertical="center"/>
    </xf>
    <xf numFmtId="41" fontId="16" fillId="0" borderId="29" xfId="0" applyNumberFormat="1" applyFont="1" applyFill="1" applyBorder="1" applyAlignment="1">
      <alignment vertical="center"/>
    </xf>
    <xf numFmtId="41" fontId="16" fillId="0" borderId="3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0" fillId="6" borderId="0" xfId="0" applyFont="1" applyFill="1" applyAlignment="1">
      <alignment horizontal="center" vertical="center"/>
    </xf>
    <xf numFmtId="14" fontId="10" fillId="6" borderId="0" xfId="0" applyNumberFormat="1" applyFont="1" applyFill="1" applyAlignment="1">
      <alignment horizontal="center" vertical="center"/>
    </xf>
  </cellXfs>
  <cellStyles count="13">
    <cellStyle name="??&amp;O?&amp;H?_x0008__x000f__x0007_?_x0007__x0001__x0001_" xfId="1"/>
    <cellStyle name="??&amp;O?&amp;H?_x0008_??_x0007__x0001__x0001_" xfId="2"/>
    <cellStyle name="Comma [0]_ SG&amp;A Bridge " xfId="8"/>
    <cellStyle name="Comma_ SG&amp;A Bridge " xfId="9"/>
    <cellStyle name="Currency [0]_ SG&amp;A Bridge " xfId="10"/>
    <cellStyle name="Currency_ SG&amp;A Bridge " xfId="11"/>
    <cellStyle name="Normal_ SG&amp;A Bridge " xfId="12"/>
    <cellStyle name="백분율" xfId="3" builtinId="5"/>
    <cellStyle name="뷭?_BOOKSHIP" xfId="4"/>
    <cellStyle name="쉼표 [0]" xfId="5" builtinId="6"/>
    <cellStyle name="콤마 [0]_10월2주 " xfId="6"/>
    <cellStyle name="콤마_10월2주 " xfId="7"/>
    <cellStyle name="표준" xfId="0" builtinId="0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742959</xdr:colOff>
      <xdr:row>27</xdr:row>
      <xdr:rowOff>257173</xdr:rowOff>
    </xdr:from>
    <xdr:to>
      <xdr:col>8</xdr:col>
      <xdr:colOff>556258</xdr:colOff>
      <xdr:row>31</xdr:row>
      <xdr:rowOff>99875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rot="197797">
          <a:off x="4600584" y="6772273"/>
          <a:ext cx="1080124" cy="947602"/>
        </a:xfrm>
        <a:prstGeom prst="rect">
          <a:avLst/>
        </a:prstGeom>
        <a:noFill/>
      </xdr:spPr>
    </xdr:pic>
    <xdr:clientData/>
  </xdr:twoCellAnchor>
  <xdr:twoCellAnchor>
    <xdr:from>
      <xdr:col>3</xdr:col>
      <xdr:colOff>209549</xdr:colOff>
      <xdr:row>0</xdr:row>
      <xdr:rowOff>104775</xdr:rowOff>
    </xdr:from>
    <xdr:to>
      <xdr:col>7</xdr:col>
      <xdr:colOff>904874</xdr:colOff>
      <xdr:row>4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85899" y="104775"/>
          <a:ext cx="3076575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ko-KR" altLang="en-US" sz="1200" b="1">
              <a:latin typeface="휴먼엑스포" pitchFamily="18" charset="-127"/>
              <a:ea typeface="휴먼엑스포" pitchFamily="18" charset="-127"/>
            </a:rPr>
            <a:t>국토해양부 제</a:t>
          </a:r>
          <a:r>
            <a:rPr lang="en-US" altLang="ko-KR" sz="1200" b="1">
              <a:latin typeface="휴먼엑스포" pitchFamily="18" charset="-127"/>
              <a:ea typeface="휴먼엑스포" pitchFamily="18" charset="-127"/>
            </a:rPr>
            <a:t>70</a:t>
          </a:r>
          <a:r>
            <a:rPr lang="ko-KR" altLang="en-US" sz="1200" b="1">
              <a:latin typeface="휴먼엑스포" pitchFamily="18" charset="-127"/>
              <a:ea typeface="휴먼엑스포" pitchFamily="18" charset="-127"/>
            </a:rPr>
            <a:t>호</a:t>
          </a:r>
          <a:endParaRPr lang="en-US" altLang="ko-KR" sz="1200" b="1">
            <a:latin typeface="휴먼엑스포" pitchFamily="18" charset="-127"/>
            <a:ea typeface="휴먼엑스포" pitchFamily="18" charset="-127"/>
          </a:endParaRPr>
        </a:p>
        <a:p>
          <a:pPr algn="r"/>
          <a:r>
            <a:rPr lang="ko-KR" altLang="en-US" sz="2600" b="1">
              <a:latin typeface="휴먼엑스포" pitchFamily="18" charset="-127"/>
              <a:ea typeface="휴먼엑스포" pitchFamily="18" charset="-127"/>
            </a:rPr>
            <a:t>건설경제연구원</a:t>
          </a:r>
        </a:p>
      </xdr:txBody>
    </xdr:sp>
    <xdr:clientData/>
  </xdr:twoCellAnchor>
  <xdr:twoCellAnchor>
    <xdr:from>
      <xdr:col>3</xdr:col>
      <xdr:colOff>247650</xdr:colOff>
      <xdr:row>1</xdr:row>
      <xdr:rowOff>123824</xdr:rowOff>
    </xdr:from>
    <xdr:to>
      <xdr:col>3</xdr:col>
      <xdr:colOff>762000</xdr:colOff>
      <xdr:row>3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524000" y="361949"/>
          <a:ext cx="514350" cy="476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ko-KR" altLang="en-US" sz="1000" b="1">
              <a:latin typeface="휴먼엑스포" pitchFamily="18" charset="-127"/>
              <a:ea typeface="휴먼엑스포" pitchFamily="18" charset="-127"/>
            </a:rPr>
            <a:t>사단법인</a:t>
          </a:r>
        </a:p>
      </xdr:txBody>
    </xdr:sp>
    <xdr:clientData/>
  </xdr:twoCellAnchor>
  <xdr:twoCellAnchor>
    <xdr:from>
      <xdr:col>3</xdr:col>
      <xdr:colOff>114299</xdr:colOff>
      <xdr:row>29</xdr:row>
      <xdr:rowOff>47626</xdr:rowOff>
    </xdr:from>
    <xdr:to>
      <xdr:col>7</xdr:col>
      <xdr:colOff>1114425</xdr:colOff>
      <xdr:row>31</xdr:row>
      <xdr:rowOff>134471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436593" y="7196979"/>
          <a:ext cx="3532656" cy="6471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ko-KR" altLang="en-US" sz="2600" b="1">
              <a:latin typeface="굴림체" pitchFamily="49" charset="-127"/>
              <a:ea typeface="굴림체" pitchFamily="49" charset="-127"/>
            </a:rPr>
            <a:t>건설경제연구원</a:t>
          </a:r>
          <a:endParaRPr lang="ko-KR" altLang="en-US" sz="2600" b="1" i="1">
            <a:latin typeface="굴림체" pitchFamily="49" charset="-127"/>
            <a:ea typeface="굴림체" pitchFamily="49" charset="-127"/>
          </a:endParaRPr>
        </a:p>
      </xdr:txBody>
    </xdr:sp>
    <xdr:clientData/>
  </xdr:twoCellAnchor>
  <xdr:twoCellAnchor>
    <xdr:from>
      <xdr:col>3</xdr:col>
      <xdr:colOff>352425</xdr:colOff>
      <xdr:row>29</xdr:row>
      <xdr:rowOff>104774</xdr:rowOff>
    </xdr:from>
    <xdr:to>
      <xdr:col>3</xdr:col>
      <xdr:colOff>866775</xdr:colOff>
      <xdr:row>31</xdr:row>
      <xdr:rowOff>104775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676400" y="7172324"/>
          <a:ext cx="514350" cy="552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ko-KR" altLang="en-US" sz="1000" b="1">
              <a:latin typeface="굴림체" pitchFamily="49" charset="-127"/>
              <a:ea typeface="굴림체" pitchFamily="49" charset="-127"/>
            </a:rPr>
            <a:t>사단법인</a:t>
          </a:r>
        </a:p>
      </xdr:txBody>
    </xdr:sp>
    <xdr:clientData/>
  </xdr:twoCellAnchor>
  <xdr:twoCellAnchor>
    <xdr:from>
      <xdr:col>0</xdr:col>
      <xdr:colOff>104775</xdr:colOff>
      <xdr:row>0</xdr:row>
      <xdr:rowOff>19050</xdr:rowOff>
    </xdr:from>
    <xdr:to>
      <xdr:col>0</xdr:col>
      <xdr:colOff>809625</xdr:colOff>
      <xdr:row>3</xdr:row>
      <xdr:rowOff>219075</xdr:rowOff>
    </xdr:to>
    <xdr:pic>
      <xdr:nvPicPr>
        <xdr:cNvPr id="9" name="_x523553584" descr="EMB0000135012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9050"/>
          <a:ext cx="70485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showZeros="0" tabSelected="1" view="pageBreakPreview" topLeftCell="A10" zoomScale="85" zoomScaleNormal="85" zoomScaleSheetLayoutView="85" zoomScalePageLayoutView="85" workbookViewId="0">
      <selection activeCell="M36" sqref="M36"/>
    </sheetView>
  </sheetViews>
  <sheetFormatPr defaultRowHeight="18.75" customHeight="1"/>
  <cols>
    <col min="1" max="1" width="10.875" style="14" customWidth="1"/>
    <col min="2" max="3" width="3.25" style="14" customWidth="1"/>
    <col min="4" max="4" width="11.375" style="14" customWidth="1"/>
    <col min="5" max="6" width="3.25" style="14" customWidth="1"/>
    <col min="7" max="9" width="16.625" style="14" customWidth="1"/>
    <col min="10" max="10" width="4.625" style="14" customWidth="1"/>
    <col min="11" max="11" width="9" style="14"/>
    <col min="12" max="12" width="10.75" style="14" customWidth="1"/>
    <col min="13" max="13" width="20.125" style="14" customWidth="1"/>
    <col min="14" max="16384" width="9" style="14"/>
  </cols>
  <sheetData>
    <row r="1" spans="1:13" ht="18.75" customHeight="1">
      <c r="J1" s="15">
        <f ca="1">TODAY()</f>
        <v>45597</v>
      </c>
    </row>
    <row r="5" spans="1:13" ht="21.75" customHeight="1">
      <c r="A5" s="65" t="s">
        <v>27</v>
      </c>
      <c r="B5" s="65" t="str">
        <f>M17&amp;" "</f>
        <v xml:space="preserve">한일건설㈜ </v>
      </c>
      <c r="C5" s="65"/>
      <c r="D5" s="65"/>
      <c r="E5" s="65"/>
      <c r="F5" s="65"/>
      <c r="G5" s="65"/>
      <c r="H5" s="65"/>
      <c r="I5" s="65"/>
      <c r="L5" s="163"/>
      <c r="M5"/>
    </row>
    <row r="6" spans="1:13" ht="21.75" customHeight="1">
      <c r="A6" s="65" t="s">
        <v>28</v>
      </c>
      <c r="B6" s="65">
        <f>M18</f>
        <v>0</v>
      </c>
      <c r="C6" s="65"/>
      <c r="D6" s="65"/>
      <c r="E6" s="65"/>
      <c r="F6" s="65"/>
      <c r="G6" s="65"/>
      <c r="H6" s="65"/>
      <c r="I6" s="65"/>
      <c r="L6" s="163"/>
    </row>
    <row r="7" spans="1:13" ht="21.75" customHeight="1">
      <c r="A7" s="65" t="s">
        <v>29</v>
      </c>
      <c r="B7" s="180" t="str">
        <f>""&amp;M20&amp;" 용역 견적서 제출"</f>
        <v>공기연장 간접비 계약금액 조정(10차수) 용역 견적서 제출</v>
      </c>
      <c r="C7" s="180"/>
      <c r="D7" s="180"/>
      <c r="E7" s="180"/>
      <c r="F7" s="180"/>
      <c r="G7" s="180"/>
      <c r="H7" s="180"/>
      <c r="I7" s="180"/>
      <c r="L7" s="163"/>
    </row>
    <row r="8" spans="1:13" ht="11.25" customHeight="1">
      <c r="A8" s="65"/>
      <c r="B8" s="65"/>
      <c r="C8" s="65"/>
      <c r="D8" s="65"/>
      <c r="E8" s="65"/>
      <c r="F8" s="65"/>
      <c r="G8" s="65"/>
      <c r="H8" s="65"/>
      <c r="I8" s="65"/>
      <c r="L8" s="163"/>
    </row>
    <row r="9" spans="1:13" ht="2.25" customHeight="1">
      <c r="A9" s="66"/>
      <c r="B9" s="66"/>
      <c r="C9" s="66"/>
      <c r="D9" s="66"/>
      <c r="E9" s="66"/>
      <c r="F9" s="66"/>
      <c r="G9" s="66"/>
      <c r="H9" s="66"/>
      <c r="I9" s="66"/>
      <c r="L9" s="163"/>
    </row>
    <row r="10" spans="1:13" ht="21.75" customHeight="1">
      <c r="A10" s="65"/>
      <c r="B10" s="65"/>
      <c r="C10" s="65"/>
      <c r="D10" s="65"/>
      <c r="E10" s="65"/>
      <c r="F10" s="65"/>
      <c r="G10" s="65"/>
      <c r="H10" s="65"/>
      <c r="I10" s="65"/>
    </row>
    <row r="11" spans="1:13" ht="21.75" customHeight="1">
      <c r="A11" s="65"/>
      <c r="B11" s="65" t="s">
        <v>25</v>
      </c>
      <c r="C11" s="65"/>
      <c r="D11" s="65"/>
      <c r="E11" s="65"/>
      <c r="F11" s="65"/>
      <c r="G11" s="65"/>
      <c r="H11" s="65"/>
      <c r="I11" s="65"/>
    </row>
    <row r="12" spans="1:13" ht="11.25" customHeight="1">
      <c r="A12" s="65"/>
      <c r="B12" s="65"/>
      <c r="C12" s="65"/>
      <c r="D12" s="65"/>
      <c r="E12" s="65"/>
      <c r="F12" s="65"/>
      <c r="G12" s="65"/>
      <c r="H12" s="65"/>
      <c r="I12" s="65"/>
    </row>
    <row r="13" spans="1:13" ht="21.75" customHeight="1">
      <c r="A13" s="179" t="str">
        <f>"               2. 귀 사에서 당 연구원에 요청하신 『"&amp;M19&amp;"』에 대한 "&amp;M20&amp;" 용역 견적서를 첨부와 같이 제출합니다."</f>
        <v xml:space="preserve">               2. 귀 사에서 당 연구원에 요청하신 『남한산성 순환도로 확장공사』에 대한 공기연장 간접비 계약금액 조정(10차수) 용역 견적서를 첨부와 같이 제출합니다.</v>
      </c>
      <c r="B13" s="179"/>
      <c r="C13" s="179"/>
      <c r="D13" s="179"/>
      <c r="E13" s="179"/>
      <c r="F13" s="179"/>
      <c r="G13" s="179"/>
      <c r="H13" s="179"/>
      <c r="I13" s="179"/>
      <c r="L13" s="14" t="s">
        <v>108</v>
      </c>
    </row>
    <row r="14" spans="1:13" ht="21.75" customHeight="1">
      <c r="A14" s="179"/>
      <c r="B14" s="179"/>
      <c r="C14" s="179"/>
      <c r="D14" s="179"/>
      <c r="E14" s="179"/>
      <c r="F14" s="179"/>
      <c r="G14" s="179"/>
      <c r="H14" s="179"/>
      <c r="I14" s="179"/>
    </row>
    <row r="15" spans="1:13" ht="21.75" customHeight="1">
      <c r="A15" s="179"/>
      <c r="B15" s="179"/>
      <c r="C15" s="179"/>
      <c r="D15" s="179"/>
      <c r="E15" s="179"/>
      <c r="F15" s="179"/>
      <c r="G15" s="179"/>
      <c r="H15" s="179"/>
      <c r="I15" s="179"/>
    </row>
    <row r="16" spans="1:13" ht="21.75" customHeight="1">
      <c r="A16" s="65"/>
      <c r="B16" s="65"/>
      <c r="C16" s="65"/>
      <c r="D16" s="65"/>
      <c r="E16" s="65"/>
      <c r="F16" s="65"/>
      <c r="G16" s="65"/>
      <c r="H16" s="65"/>
      <c r="I16" s="65"/>
    </row>
    <row r="17" spans="1:13" ht="21.75" customHeight="1">
      <c r="A17" s="65"/>
      <c r="B17" s="65"/>
      <c r="C17" s="65"/>
      <c r="D17" s="65"/>
      <c r="E17" s="65"/>
      <c r="F17" s="65"/>
      <c r="G17" s="65"/>
      <c r="H17" s="65"/>
      <c r="I17" s="65"/>
      <c r="L17" s="16" t="s">
        <v>21</v>
      </c>
      <c r="M17" s="18" t="s">
        <v>109</v>
      </c>
    </row>
    <row r="18" spans="1:13" ht="21.75" customHeight="1">
      <c r="A18" s="65" t="s">
        <v>30</v>
      </c>
      <c r="B18" s="65" t="s">
        <v>99</v>
      </c>
      <c r="C18" s="65"/>
      <c r="D18" s="65"/>
      <c r="E18" s="65"/>
      <c r="F18" s="65"/>
      <c r="G18" s="65"/>
      <c r="H18" s="65"/>
      <c r="I18" s="65"/>
      <c r="L18" s="16" t="s">
        <v>7</v>
      </c>
      <c r="M18" s="18"/>
    </row>
    <row r="19" spans="1:13" ht="21.75" customHeight="1">
      <c r="A19" s="65"/>
      <c r="B19" s="65" t="s">
        <v>106</v>
      </c>
      <c r="C19" s="65"/>
      <c r="D19" s="65"/>
      <c r="E19" s="65"/>
      <c r="F19" s="65"/>
      <c r="G19" s="65"/>
      <c r="H19" s="65"/>
      <c r="I19" s="65"/>
      <c r="L19" s="16" t="s">
        <v>22</v>
      </c>
      <c r="M19" s="18" t="s">
        <v>110</v>
      </c>
    </row>
    <row r="20" spans="1:13" ht="21.75" customHeight="1">
      <c r="A20" s="65"/>
      <c r="B20" s="65"/>
      <c r="C20" s="65"/>
      <c r="D20" s="65"/>
      <c r="E20" s="65"/>
      <c r="F20" s="65"/>
      <c r="G20" s="65"/>
      <c r="H20" s="65"/>
      <c r="I20" s="65"/>
      <c r="L20" s="16" t="s">
        <v>31</v>
      </c>
      <c r="M20" s="18" t="s">
        <v>111</v>
      </c>
    </row>
    <row r="21" spans="1:13" ht="21.75" customHeight="1">
      <c r="A21" s="65"/>
      <c r="B21" s="65"/>
      <c r="C21" s="65"/>
      <c r="D21" s="65"/>
      <c r="E21" s="65"/>
      <c r="F21" s="65"/>
      <c r="G21" s="65"/>
      <c r="H21" s="65"/>
      <c r="I21" s="65"/>
      <c r="L21" s="16" t="s">
        <v>115</v>
      </c>
      <c r="M21" s="18" t="s">
        <v>118</v>
      </c>
    </row>
    <row r="22" spans="1:13" ht="21.75" customHeight="1">
      <c r="A22" s="65"/>
      <c r="B22" s="65"/>
      <c r="C22" s="65"/>
      <c r="D22" s="65"/>
      <c r="E22" s="65"/>
      <c r="F22" s="65"/>
      <c r="G22" s="65"/>
      <c r="H22" s="65"/>
      <c r="I22" s="65"/>
      <c r="L22" s="16" t="s">
        <v>116</v>
      </c>
      <c r="M22" s="18" t="s">
        <v>119</v>
      </c>
    </row>
    <row r="23" spans="1:13" ht="21.75" customHeight="1">
      <c r="A23" s="65"/>
      <c r="B23" s="65"/>
      <c r="C23" s="65"/>
      <c r="D23" s="65"/>
      <c r="E23" s="65"/>
      <c r="F23" s="65"/>
      <c r="G23" s="65"/>
      <c r="H23" s="65"/>
      <c r="I23" s="65"/>
      <c r="L23" s="16" t="s">
        <v>117</v>
      </c>
      <c r="M23" s="18" t="s">
        <v>120</v>
      </c>
    </row>
    <row r="24" spans="1:13" ht="21.75" customHeight="1">
      <c r="B24" s="65"/>
      <c r="L24" s="16" t="s">
        <v>26</v>
      </c>
      <c r="M24" s="321">
        <v>1</v>
      </c>
    </row>
    <row r="25" spans="1:13" ht="21.75" customHeight="1">
      <c r="A25" s="65"/>
      <c r="B25" s="65"/>
      <c r="C25" s="65"/>
      <c r="D25" s="65"/>
      <c r="E25" s="65"/>
      <c r="F25" s="65"/>
      <c r="G25" s="65"/>
      <c r="H25" s="65"/>
      <c r="I25" s="65"/>
      <c r="L25" s="16" t="s">
        <v>24</v>
      </c>
      <c r="M25" s="322">
        <v>45658</v>
      </c>
    </row>
    <row r="26" spans="1:13" ht="21.75" customHeight="1">
      <c r="A26" s="65"/>
      <c r="B26" s="65"/>
      <c r="C26" s="65"/>
      <c r="D26" s="65"/>
      <c r="E26" s="65"/>
      <c r="F26" s="65"/>
      <c r="G26" s="65"/>
      <c r="H26" s="65"/>
      <c r="I26" s="65"/>
    </row>
    <row r="27" spans="1:13" ht="21.75" hidden="1" customHeight="1">
      <c r="A27" s="65"/>
      <c r="B27" s="65"/>
      <c r="C27" s="65"/>
      <c r="D27" s="65"/>
      <c r="E27" s="65"/>
      <c r="F27" s="65"/>
      <c r="G27" s="65"/>
      <c r="H27" s="65"/>
      <c r="I27" s="65"/>
    </row>
    <row r="28" spans="1:13" ht="21.75" customHeight="1">
      <c r="B28" s="65"/>
    </row>
    <row r="29" spans="1:13" ht="21.75" customHeight="1">
      <c r="M29" s="65"/>
    </row>
    <row r="30" spans="1:13" ht="21.75" customHeight="1">
      <c r="M30" s="65"/>
    </row>
    <row r="31" spans="1:13" ht="21.75" customHeight="1"/>
    <row r="32" spans="1:13" ht="26.25" customHeight="1"/>
    <row r="33" spans="1:9" ht="2.2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1.25" customHeight="1"/>
    <row r="35" spans="1:9" s="13" customFormat="1" ht="18.75" customHeight="1">
      <c r="A35" s="37" t="s">
        <v>32</v>
      </c>
      <c r="B35" s="37" t="str">
        <f>IF(M21="","",TEXT(M21,"0000"))</f>
        <v>연구원 박종은</v>
      </c>
      <c r="E35" s="178" t="str">
        <f>IF(M22="","",TEXT(M22,"0000"))</f>
        <v>책임연구원 박길범</v>
      </c>
      <c r="F35" s="178"/>
      <c r="H35" s="178" t="str">
        <f>IF(M23="","",TEXT(M23,"0000"))</f>
        <v>부원장 임희상</v>
      </c>
      <c r="I35" s="37"/>
    </row>
    <row r="36" spans="1:9" s="13" customFormat="1" ht="18.75" customHeight="1">
      <c r="A36" s="37" t="s">
        <v>23</v>
      </c>
      <c r="B36" s="37" t="str">
        <f>"건경연-2502-"&amp;TEXT(M24,"0000")&amp;"호  ("&amp;TEXT(M25,"yyyy.mm.")&amp;")"</f>
        <v>건경연-2502-0001호  (2025.01.)</v>
      </c>
      <c r="C36" s="37"/>
      <c r="D36" s="37"/>
      <c r="E36" s="37"/>
      <c r="F36" s="37"/>
      <c r="G36" s="37"/>
      <c r="H36" s="37"/>
      <c r="I36" s="37"/>
    </row>
    <row r="37" spans="1:9" s="13" customFormat="1" ht="18.75" customHeight="1">
      <c r="A37" s="171" t="s">
        <v>100</v>
      </c>
      <c r="B37" s="170"/>
      <c r="C37" s="170"/>
      <c r="D37" s="170"/>
      <c r="E37" s="178"/>
      <c r="F37" s="178"/>
      <c r="G37" s="170"/>
      <c r="H37" s="170"/>
      <c r="I37" s="170"/>
    </row>
    <row r="38" spans="1:9" s="13" customFormat="1" ht="18.75" customHeight="1">
      <c r="A38" s="170" t="s">
        <v>98</v>
      </c>
      <c r="B38" s="170"/>
      <c r="C38" s="170"/>
      <c r="D38" s="170"/>
      <c r="E38" s="178"/>
      <c r="F38" s="178"/>
      <c r="G38" s="170"/>
      <c r="H38" s="170"/>
      <c r="I38" s="170"/>
    </row>
  </sheetData>
  <mergeCells count="2">
    <mergeCell ref="A13:I15"/>
    <mergeCell ref="B7:I7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53"/>
  <sheetViews>
    <sheetView showGridLines="0" showZeros="0" view="pageBreakPreview" zoomScale="98" zoomScaleSheetLayoutView="98" workbookViewId="0">
      <pane xSplit="10" topLeftCell="K1" activePane="topRight" state="frozen"/>
      <selection activeCell="H16" sqref="H16"/>
      <selection pane="topRight" activeCell="H16" sqref="H16"/>
    </sheetView>
  </sheetViews>
  <sheetFormatPr defaultRowHeight="13.5"/>
  <cols>
    <col min="1" max="1" width="1.625" style="19" customWidth="1"/>
    <col min="2" max="2" width="3.625" style="19" customWidth="1"/>
    <col min="3" max="3" width="11.625" style="19" customWidth="1"/>
    <col min="4" max="4" width="2.625" style="159" customWidth="1"/>
    <col min="5" max="6" width="10.625" style="19" customWidth="1"/>
    <col min="7" max="7" width="15.625" style="19" customWidth="1"/>
    <col min="8" max="8" width="24.625" style="19" customWidth="1"/>
    <col min="9" max="9" width="8.625" style="19" customWidth="1"/>
    <col min="10" max="10" width="10.625" style="19" customWidth="1"/>
    <col min="11" max="11" width="5.625" style="71" customWidth="1"/>
    <col min="12" max="12" width="8.375" style="71" customWidth="1"/>
    <col min="13" max="14" width="7.875" style="71" customWidth="1"/>
    <col min="15" max="15" width="12.25" style="71" bestFit="1" customWidth="1"/>
    <col min="16" max="16" width="7.125" style="71" customWidth="1"/>
    <col min="17" max="25" width="7.25" style="71" customWidth="1"/>
    <col min="26" max="26" width="8.375" style="71" customWidth="1"/>
    <col min="27" max="39" width="7.25" style="71" customWidth="1"/>
    <col min="40" max="45" width="7.25" style="19" customWidth="1"/>
    <col min="46" max="50" width="7.25" style="70" customWidth="1"/>
    <col min="51" max="51" width="7.25" style="19" customWidth="1"/>
    <col min="52" max="16384" width="9" style="19"/>
  </cols>
  <sheetData>
    <row r="1" spans="1:51"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51" ht="31.5" customHeight="1">
      <c r="B2" s="236" t="s">
        <v>35</v>
      </c>
      <c r="C2" s="236"/>
      <c r="D2" s="236"/>
      <c r="E2" s="236"/>
      <c r="F2" s="236"/>
      <c r="G2" s="236"/>
      <c r="H2" s="236"/>
      <c r="I2" s="236"/>
      <c r="J2" s="236"/>
      <c r="K2" s="73"/>
      <c r="M2" s="74"/>
      <c r="N2" s="74"/>
      <c r="O2" s="74"/>
      <c r="P2" s="74"/>
      <c r="Q2" s="74"/>
      <c r="R2" s="74"/>
      <c r="S2" s="74"/>
      <c r="T2" s="74"/>
      <c r="U2" s="74"/>
      <c r="V2" s="74"/>
    </row>
    <row r="3" spans="1:51" ht="16.5" customHeight="1">
      <c r="K3" s="72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</row>
    <row r="4" spans="1:51" s="21" customFormat="1" ht="50.1" customHeight="1">
      <c r="B4" s="161" t="s">
        <v>36</v>
      </c>
      <c r="C4" s="160" t="s">
        <v>87</v>
      </c>
      <c r="D4" s="158" t="s">
        <v>86</v>
      </c>
      <c r="E4" s="182" t="str">
        <f>공문!M17</f>
        <v>한일건설㈜</v>
      </c>
      <c r="F4" s="182"/>
      <c r="G4" s="182"/>
      <c r="H4" s="182"/>
      <c r="I4" s="182"/>
      <c r="J4" s="182"/>
      <c r="K4" s="76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</row>
    <row r="5" spans="1:51" s="22" customFormat="1" ht="50.1" customHeight="1">
      <c r="B5" s="161" t="s">
        <v>89</v>
      </c>
      <c r="C5" s="160" t="s">
        <v>88</v>
      </c>
      <c r="D5" s="158" t="s">
        <v>86</v>
      </c>
      <c r="E5" s="243" t="str">
        <f>"["&amp;공문!M19&amp;"] 에 대한 "&amp;공문!M20&amp;" 용역"</f>
        <v>[남한산성 순환도로 확장공사] 에 대한 공기연장 간접비 계약금액 조정(10차수) 용역</v>
      </c>
      <c r="F5" s="243"/>
      <c r="G5" s="243"/>
      <c r="H5" s="243"/>
      <c r="I5" s="243"/>
      <c r="J5" s="243"/>
      <c r="K5" s="77"/>
      <c r="L5" s="76"/>
      <c r="M5" s="123"/>
      <c r="N5" s="78"/>
      <c r="O5" s="175">
        <f>I34*30%</f>
        <v>3090000</v>
      </c>
      <c r="P5" s="79"/>
      <c r="Q5" s="80"/>
      <c r="R5" s="81"/>
      <c r="S5" s="81">
        <f>15*30</f>
        <v>450</v>
      </c>
      <c r="T5" s="81"/>
      <c r="U5" s="81"/>
      <c r="V5" s="81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</row>
    <row r="6" spans="1:51" s="21" customFormat="1" ht="50.1" hidden="1" customHeight="1">
      <c r="B6" s="162" t="s">
        <v>89</v>
      </c>
      <c r="C6" s="160" t="s">
        <v>103</v>
      </c>
      <c r="D6" s="158" t="s">
        <v>86</v>
      </c>
      <c r="E6" s="244" t="s">
        <v>107</v>
      </c>
      <c r="F6" s="245"/>
      <c r="G6" s="245"/>
      <c r="H6" s="245"/>
      <c r="I6" s="245"/>
      <c r="J6" s="245"/>
      <c r="K6" s="76"/>
      <c r="L6" s="75"/>
      <c r="M6" s="78"/>
      <c r="N6" s="78"/>
      <c r="O6" s="175">
        <f>I34*70%</f>
        <v>7210000</v>
      </c>
      <c r="P6" s="79"/>
      <c r="Q6" s="80"/>
      <c r="R6" s="80"/>
      <c r="S6" s="80"/>
      <c r="T6" s="80"/>
      <c r="U6" s="80"/>
      <c r="V6" s="80"/>
      <c r="W6" s="76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</row>
    <row r="7" spans="1:51" s="21" customFormat="1" ht="50.1" customHeight="1">
      <c r="B7" s="162" t="s">
        <v>89</v>
      </c>
      <c r="C7" s="160" t="s">
        <v>82</v>
      </c>
      <c r="D7" s="158" t="s">
        <v>86</v>
      </c>
      <c r="E7" s="244" t="s">
        <v>112</v>
      </c>
      <c r="F7" s="245"/>
      <c r="G7" s="245"/>
      <c r="H7" s="245"/>
      <c r="I7" s="245"/>
      <c r="J7" s="245"/>
      <c r="K7" s="76"/>
      <c r="L7" s="75"/>
      <c r="M7" s="78"/>
      <c r="N7" s="78"/>
      <c r="O7" s="78"/>
      <c r="P7" s="79"/>
      <c r="Q7" s="80"/>
      <c r="R7" s="80"/>
      <c r="S7" s="80"/>
      <c r="T7" s="80"/>
      <c r="U7" s="80"/>
      <c r="V7" s="80"/>
      <c r="W7" s="76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</row>
    <row r="8" spans="1:51" s="21" customFormat="1" ht="50.1" customHeight="1">
      <c r="B8" s="162" t="s">
        <v>89</v>
      </c>
      <c r="C8" s="173" t="s">
        <v>105</v>
      </c>
      <c r="D8" s="174" t="s">
        <v>86</v>
      </c>
      <c r="E8" s="246" t="s">
        <v>113</v>
      </c>
      <c r="F8" s="245"/>
      <c r="G8" s="245"/>
      <c r="H8" s="245"/>
      <c r="I8" s="245"/>
      <c r="J8" s="245"/>
      <c r="K8" s="77"/>
      <c r="L8" s="136">
        <v>2000</v>
      </c>
      <c r="M8" s="78"/>
      <c r="N8" s="78"/>
      <c r="O8" s="78"/>
      <c r="P8" s="79"/>
      <c r="Q8" s="80"/>
      <c r="R8" s="80"/>
      <c r="S8" s="80"/>
      <c r="T8" s="80"/>
      <c r="U8" s="80"/>
      <c r="V8" s="80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</row>
    <row r="9" spans="1:51" ht="14.25" hidden="1" customHeight="1">
      <c r="B9" s="167"/>
      <c r="C9" s="168"/>
      <c r="D9" s="169"/>
      <c r="E9" s="247"/>
      <c r="F9" s="247"/>
      <c r="G9" s="247"/>
      <c r="H9" s="247"/>
      <c r="I9" s="247"/>
      <c r="J9" s="247"/>
      <c r="K9" s="82"/>
      <c r="M9" s="83"/>
      <c r="N9" s="83"/>
      <c r="O9" s="83"/>
      <c r="P9" s="84"/>
      <c r="Q9" s="84"/>
      <c r="R9" s="85"/>
      <c r="S9" s="85"/>
      <c r="T9" s="85"/>
      <c r="U9" s="85"/>
      <c r="V9" s="85"/>
    </row>
    <row r="10" spans="1:51" s="1" customFormat="1" ht="12" customHeight="1" thickBot="1">
      <c r="A10" s="2"/>
      <c r="B10" s="38"/>
      <c r="C10" s="38"/>
      <c r="D10" s="38"/>
      <c r="E10" s="38"/>
      <c r="F10" s="38"/>
      <c r="G10" s="38"/>
      <c r="H10" s="38"/>
      <c r="I10" s="38"/>
      <c r="J10" s="38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</row>
    <row r="11" spans="1:51" s="1" customFormat="1" ht="18.75" customHeight="1" thickBot="1">
      <c r="A11" s="2"/>
      <c r="B11" s="224" t="s">
        <v>42</v>
      </c>
      <c r="C11" s="225"/>
      <c r="D11" s="226"/>
      <c r="E11" s="210" t="s">
        <v>37</v>
      </c>
      <c r="F11" s="211"/>
      <c r="G11" s="39" t="s">
        <v>72</v>
      </c>
      <c r="H11" s="237" t="s">
        <v>33</v>
      </c>
      <c r="I11" s="239" t="s">
        <v>38</v>
      </c>
      <c r="J11" s="240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</row>
    <row r="12" spans="1:51" s="1" customFormat="1" ht="30.75" customHeight="1" thickBot="1">
      <c r="A12" s="2"/>
      <c r="B12" s="227"/>
      <c r="C12" s="228"/>
      <c r="D12" s="229"/>
      <c r="E12" s="40" t="s">
        <v>73</v>
      </c>
      <c r="F12" s="40" t="s">
        <v>39</v>
      </c>
      <c r="G12" s="41" t="s">
        <v>40</v>
      </c>
      <c r="H12" s="238"/>
      <c r="I12" s="241"/>
      <c r="J12" s="242"/>
      <c r="K12" s="72"/>
      <c r="L12" s="86" t="s">
        <v>2</v>
      </c>
      <c r="M12" s="87" t="s">
        <v>3</v>
      </c>
      <c r="N12" s="88" t="s">
        <v>34</v>
      </c>
      <c r="O12" s="72"/>
      <c r="P12" s="72"/>
      <c r="Q12" s="248">
        <f>ROUNDDOWN(L8/100,0)</f>
        <v>20</v>
      </c>
      <c r="R12" s="249"/>
      <c r="S12" s="250"/>
      <c r="T12" s="89"/>
      <c r="U12" s="89"/>
      <c r="V12" s="116" t="s">
        <v>77</v>
      </c>
      <c r="W12" s="116" t="s">
        <v>76</v>
      </c>
      <c r="X12" s="89"/>
      <c r="Y12" s="89"/>
      <c r="Z12" s="121" t="s">
        <v>78</v>
      </c>
      <c r="AA12" s="141">
        <v>1</v>
      </c>
      <c r="AB12" s="146">
        <v>2</v>
      </c>
      <c r="AC12" s="146">
        <v>3</v>
      </c>
      <c r="AD12" s="146">
        <v>4</v>
      </c>
      <c r="AE12" s="146">
        <v>5</v>
      </c>
      <c r="AF12" s="146">
        <v>6</v>
      </c>
      <c r="AG12" s="146">
        <v>7</v>
      </c>
      <c r="AH12" s="146">
        <v>8</v>
      </c>
      <c r="AI12" s="146">
        <v>9</v>
      </c>
      <c r="AJ12" s="146">
        <v>10</v>
      </c>
      <c r="AK12" s="146">
        <v>11</v>
      </c>
      <c r="AL12" s="146">
        <v>12</v>
      </c>
      <c r="AM12" s="146">
        <v>13</v>
      </c>
      <c r="AN12" s="146">
        <v>14</v>
      </c>
      <c r="AO12" s="146">
        <v>15</v>
      </c>
      <c r="AP12" s="146">
        <v>16</v>
      </c>
      <c r="AQ12" s="146">
        <v>17</v>
      </c>
      <c r="AR12" s="146">
        <v>18</v>
      </c>
      <c r="AS12" s="146">
        <v>19</v>
      </c>
      <c r="AT12" s="146">
        <v>20</v>
      </c>
      <c r="AU12" s="146">
        <v>21</v>
      </c>
      <c r="AV12" s="146">
        <v>22</v>
      </c>
      <c r="AW12" s="146">
        <v>23</v>
      </c>
      <c r="AX12" s="146">
        <v>24</v>
      </c>
      <c r="AY12" s="151">
        <v>25</v>
      </c>
    </row>
    <row r="13" spans="1:51" s="1" customFormat="1" ht="21" customHeight="1" thickTop="1">
      <c r="A13" s="2"/>
      <c r="B13" s="254" t="s">
        <v>104</v>
      </c>
      <c r="C13" s="230" t="s">
        <v>41</v>
      </c>
      <c r="D13" s="231"/>
      <c r="E13" s="42">
        <f t="shared" ref="E13:F17" si="0">L13</f>
        <v>1</v>
      </c>
      <c r="F13" s="43">
        <f t="shared" si="0"/>
        <v>15</v>
      </c>
      <c r="G13" s="44">
        <f>산출근거!AZ22</f>
        <v>166492</v>
      </c>
      <c r="H13" s="68" t="str">
        <f>E13&amp;" × "&amp;F13&amp;" × "&amp;FIXED(G13,0)&amp;" = "</f>
        <v xml:space="preserve">1 × 15 × 166,492 = </v>
      </c>
      <c r="I13" s="203">
        <f>INT(E13*F13*G13)</f>
        <v>2497380</v>
      </c>
      <c r="J13" s="204"/>
      <c r="K13" s="72"/>
      <c r="L13" s="91">
        <v>1</v>
      </c>
      <c r="M13" s="92">
        <v>15</v>
      </c>
      <c r="N13" s="93">
        <v>0.35</v>
      </c>
      <c r="O13" s="94"/>
      <c r="P13" s="72">
        <v>10</v>
      </c>
      <c r="Q13" s="118">
        <f>HLOOKUP($Q$12,$AA$12:$AY$23,2,FALSE)</f>
        <v>2</v>
      </c>
      <c r="R13" s="124"/>
      <c r="S13" s="119">
        <f>HLOOKUP($Q$12,$Z$12:$AX$23,7,FALSE)</f>
        <v>15</v>
      </c>
      <c r="T13" s="89"/>
      <c r="U13" s="89"/>
      <c r="V13" s="115">
        <v>100</v>
      </c>
      <c r="W13" s="116">
        <v>1</v>
      </c>
      <c r="X13" s="89"/>
      <c r="Y13" s="89"/>
      <c r="Z13" s="251" t="s">
        <v>80</v>
      </c>
      <c r="AA13" s="142">
        <v>1</v>
      </c>
      <c r="AB13" s="147">
        <v>1</v>
      </c>
      <c r="AC13" s="147">
        <v>1</v>
      </c>
      <c r="AD13" s="147">
        <v>1</v>
      </c>
      <c r="AE13" s="147">
        <v>1</v>
      </c>
      <c r="AF13" s="147">
        <v>1</v>
      </c>
      <c r="AG13" s="147">
        <v>1</v>
      </c>
      <c r="AH13" s="147">
        <v>1</v>
      </c>
      <c r="AI13" s="147">
        <v>1</v>
      </c>
      <c r="AJ13" s="147">
        <v>1</v>
      </c>
      <c r="AK13" s="147">
        <v>1</v>
      </c>
      <c r="AL13" s="147">
        <v>1</v>
      </c>
      <c r="AM13" s="147">
        <v>1</v>
      </c>
      <c r="AN13" s="147">
        <v>1</v>
      </c>
      <c r="AO13" s="147">
        <v>1</v>
      </c>
      <c r="AP13" s="147">
        <v>1</v>
      </c>
      <c r="AQ13" s="147">
        <v>1</v>
      </c>
      <c r="AR13" s="147">
        <v>1</v>
      </c>
      <c r="AS13" s="147">
        <v>1</v>
      </c>
      <c r="AT13" s="147">
        <v>2</v>
      </c>
      <c r="AU13" s="147">
        <v>2</v>
      </c>
      <c r="AV13" s="147">
        <v>2</v>
      </c>
      <c r="AW13" s="147">
        <v>2</v>
      </c>
      <c r="AX13" s="147">
        <v>2</v>
      </c>
      <c r="AY13" s="152">
        <v>2</v>
      </c>
    </row>
    <row r="14" spans="1:51" s="1" customFormat="1" ht="21" customHeight="1">
      <c r="A14" s="2"/>
      <c r="B14" s="254"/>
      <c r="C14" s="232" t="s">
        <v>6</v>
      </c>
      <c r="D14" s="233"/>
      <c r="E14" s="45">
        <f t="shared" si="0"/>
        <v>1</v>
      </c>
      <c r="F14" s="46">
        <f t="shared" si="0"/>
        <v>30</v>
      </c>
      <c r="G14" s="47">
        <f>산출근거!AZ23</f>
        <v>182377</v>
      </c>
      <c r="H14" s="69" t="str">
        <f>E14&amp;" × "&amp;F14&amp;" × "&amp;FIXED(G14,0)&amp;" = "</f>
        <v xml:space="preserve">1 × 30 × 182,377 = </v>
      </c>
      <c r="I14" s="186">
        <f>INT(E14*F14*G14)</f>
        <v>5471310</v>
      </c>
      <c r="J14" s="187"/>
      <c r="K14" s="72"/>
      <c r="L14" s="91">
        <v>1</v>
      </c>
      <c r="M14" s="92">
        <v>30</v>
      </c>
      <c r="N14" s="93">
        <v>0.5</v>
      </c>
      <c r="O14" s="94"/>
      <c r="P14" s="72">
        <v>15</v>
      </c>
      <c r="Q14" s="90">
        <f>HLOOKUP($Q$12,$AA$12:$AY$23,3,FALSE)</f>
        <v>3</v>
      </c>
      <c r="R14" s="125"/>
      <c r="S14" s="110">
        <f>HLOOKUP($Q$12,$Z$12:$AX$23,8,FALSE)</f>
        <v>25</v>
      </c>
      <c r="T14" s="89"/>
      <c r="U14" s="89"/>
      <c r="V14" s="115">
        <v>200</v>
      </c>
      <c r="W14" s="116">
        <v>2</v>
      </c>
      <c r="X14" s="89"/>
      <c r="Y14" s="89"/>
      <c r="Z14" s="252"/>
      <c r="AA14" s="143">
        <v>1</v>
      </c>
      <c r="AB14" s="148">
        <v>1</v>
      </c>
      <c r="AC14" s="148">
        <v>1</v>
      </c>
      <c r="AD14" s="148">
        <v>1</v>
      </c>
      <c r="AE14" s="148">
        <v>1</v>
      </c>
      <c r="AF14" s="148">
        <v>1</v>
      </c>
      <c r="AG14" s="148">
        <v>1</v>
      </c>
      <c r="AH14" s="148">
        <v>2</v>
      </c>
      <c r="AI14" s="148">
        <v>2</v>
      </c>
      <c r="AJ14" s="148">
        <v>2</v>
      </c>
      <c r="AK14" s="148">
        <v>2</v>
      </c>
      <c r="AL14" s="148">
        <v>2</v>
      </c>
      <c r="AM14" s="148">
        <v>2</v>
      </c>
      <c r="AN14" s="148">
        <v>2</v>
      </c>
      <c r="AO14" s="148">
        <v>2</v>
      </c>
      <c r="AP14" s="148">
        <v>2</v>
      </c>
      <c r="AQ14" s="148">
        <v>2</v>
      </c>
      <c r="AR14" s="148">
        <v>3</v>
      </c>
      <c r="AS14" s="148">
        <v>3</v>
      </c>
      <c r="AT14" s="148">
        <v>3</v>
      </c>
      <c r="AU14" s="148">
        <v>3</v>
      </c>
      <c r="AV14" s="148">
        <v>3</v>
      </c>
      <c r="AW14" s="148">
        <v>3</v>
      </c>
      <c r="AX14" s="148">
        <v>3</v>
      </c>
      <c r="AY14" s="153">
        <v>3</v>
      </c>
    </row>
    <row r="15" spans="1:51" s="1" customFormat="1" ht="21" customHeight="1">
      <c r="A15" s="2"/>
      <c r="B15" s="254"/>
      <c r="C15" s="232" t="s">
        <v>8</v>
      </c>
      <c r="D15" s="233"/>
      <c r="E15" s="45">
        <f t="shared" si="0"/>
        <v>1</v>
      </c>
      <c r="F15" s="46">
        <f t="shared" si="0"/>
        <v>10</v>
      </c>
      <c r="G15" s="47">
        <f>산출근거!AZ24</f>
        <v>60956</v>
      </c>
      <c r="H15" s="177" t="str">
        <f>E15&amp;" × "&amp;F15&amp;" × "&amp;FIXED(G15,0)&amp;" = "</f>
        <v xml:space="preserve">1 × 10 × 60,956 = </v>
      </c>
      <c r="I15" s="186">
        <f>INT(E15*F15*G15)</f>
        <v>609560</v>
      </c>
      <c r="J15" s="187"/>
      <c r="K15" s="72"/>
      <c r="L15" s="91">
        <v>1</v>
      </c>
      <c r="M15" s="92">
        <v>10</v>
      </c>
      <c r="N15" s="93">
        <v>0.25</v>
      </c>
      <c r="O15" s="94"/>
      <c r="P15" s="72">
        <v>25</v>
      </c>
      <c r="Q15" s="90">
        <f>HLOOKUP($Q$12,$AA$12:$AY$23,4,FALSE)</f>
        <v>3</v>
      </c>
      <c r="R15" s="125"/>
      <c r="S15" s="110">
        <f>HLOOKUP($Q$12,$Z$12:$AX$23,9,FALSE)</f>
        <v>25</v>
      </c>
      <c r="T15" s="89"/>
      <c r="U15" s="89"/>
      <c r="V15" s="115">
        <v>300</v>
      </c>
      <c r="W15" s="116">
        <v>3</v>
      </c>
      <c r="X15" s="89"/>
      <c r="Y15" s="89"/>
      <c r="Z15" s="252"/>
      <c r="AA15" s="143">
        <v>1</v>
      </c>
      <c r="AB15" s="148">
        <v>1</v>
      </c>
      <c r="AC15" s="148">
        <v>1</v>
      </c>
      <c r="AD15" s="148">
        <v>1</v>
      </c>
      <c r="AE15" s="148">
        <v>2</v>
      </c>
      <c r="AF15" s="148">
        <v>2</v>
      </c>
      <c r="AG15" s="148">
        <v>2</v>
      </c>
      <c r="AH15" s="148">
        <v>2</v>
      </c>
      <c r="AI15" s="148">
        <v>2</v>
      </c>
      <c r="AJ15" s="148">
        <v>2</v>
      </c>
      <c r="AK15" s="148">
        <v>2</v>
      </c>
      <c r="AL15" s="148">
        <v>2</v>
      </c>
      <c r="AM15" s="148">
        <v>2</v>
      </c>
      <c r="AN15" s="148">
        <v>2</v>
      </c>
      <c r="AO15" s="148">
        <v>3</v>
      </c>
      <c r="AP15" s="148">
        <v>3</v>
      </c>
      <c r="AQ15" s="148">
        <v>3</v>
      </c>
      <c r="AR15" s="148">
        <v>3</v>
      </c>
      <c r="AS15" s="148">
        <v>3</v>
      </c>
      <c r="AT15" s="148">
        <v>3</v>
      </c>
      <c r="AU15" s="148">
        <v>3</v>
      </c>
      <c r="AV15" s="148">
        <v>3</v>
      </c>
      <c r="AW15" s="148">
        <v>3</v>
      </c>
      <c r="AX15" s="148">
        <v>3</v>
      </c>
      <c r="AY15" s="153">
        <v>3</v>
      </c>
    </row>
    <row r="16" spans="1:51" s="1" customFormat="1" ht="21" customHeight="1" thickBot="1">
      <c r="A16" s="2"/>
      <c r="B16" s="254"/>
      <c r="C16" s="232" t="s">
        <v>9</v>
      </c>
      <c r="D16" s="233"/>
      <c r="E16" s="45">
        <f>L16</f>
        <v>0</v>
      </c>
      <c r="F16" s="46">
        <f>M16</f>
        <v>0</v>
      </c>
      <c r="G16" s="47">
        <f>산출근거!AZ25</f>
        <v>0</v>
      </c>
      <c r="H16" s="177" t="str">
        <f>E16&amp;" × "&amp;F16&amp;" × "&amp;FIXED(G16,0)&amp;" = "</f>
        <v xml:space="preserve">0 × 0 × 0 = </v>
      </c>
      <c r="I16" s="186">
        <f>INT(E16*F16*G16)</f>
        <v>0</v>
      </c>
      <c r="J16" s="187"/>
      <c r="K16" s="72"/>
      <c r="L16" s="95"/>
      <c r="M16" s="176"/>
      <c r="N16" s="93"/>
      <c r="O16" s="94"/>
      <c r="P16" s="72">
        <v>15</v>
      </c>
      <c r="Q16" s="90">
        <f>HLOOKUP($Q$12,$AA$12:$AY$23,5,FALSE)</f>
        <v>2</v>
      </c>
      <c r="R16" s="125"/>
      <c r="S16" s="110">
        <f>HLOOKUP($Q$12,$Z$12:$AX$23,10,FALSE)</f>
        <v>30</v>
      </c>
      <c r="T16" s="89"/>
      <c r="U16" s="89"/>
      <c r="V16" s="115">
        <v>400</v>
      </c>
      <c r="W16" s="116">
        <v>4</v>
      </c>
      <c r="X16" s="89"/>
      <c r="Y16" s="89"/>
      <c r="Z16" s="253"/>
      <c r="AA16" s="144">
        <v>1</v>
      </c>
      <c r="AB16" s="149">
        <v>1</v>
      </c>
      <c r="AC16" s="149">
        <v>1</v>
      </c>
      <c r="AD16" s="149">
        <v>2</v>
      </c>
      <c r="AE16" s="149">
        <v>2</v>
      </c>
      <c r="AF16" s="149">
        <v>2</v>
      </c>
      <c r="AG16" s="149">
        <v>2</v>
      </c>
      <c r="AH16" s="149">
        <v>2</v>
      </c>
      <c r="AI16" s="149">
        <v>2</v>
      </c>
      <c r="AJ16" s="149">
        <v>2</v>
      </c>
      <c r="AK16" s="149">
        <v>2</v>
      </c>
      <c r="AL16" s="149">
        <v>2</v>
      </c>
      <c r="AM16" s="149">
        <v>2</v>
      </c>
      <c r="AN16" s="149">
        <v>2</v>
      </c>
      <c r="AO16" s="149">
        <v>2</v>
      </c>
      <c r="AP16" s="149">
        <v>2</v>
      </c>
      <c r="AQ16" s="149">
        <v>2</v>
      </c>
      <c r="AR16" s="149">
        <v>3</v>
      </c>
      <c r="AS16" s="149">
        <v>2</v>
      </c>
      <c r="AT16" s="149">
        <v>2</v>
      </c>
      <c r="AU16" s="149">
        <v>2</v>
      </c>
      <c r="AV16" s="149">
        <v>3</v>
      </c>
      <c r="AW16" s="149">
        <v>3</v>
      </c>
      <c r="AX16" s="149">
        <v>3</v>
      </c>
      <c r="AY16" s="154">
        <v>3</v>
      </c>
    </row>
    <row r="17" spans="1:51" s="1" customFormat="1" ht="21" customHeight="1" thickBot="1">
      <c r="A17" s="2"/>
      <c r="B17" s="254"/>
      <c r="C17" s="234" t="s">
        <v>10</v>
      </c>
      <c r="D17" s="235"/>
      <c r="E17" s="48">
        <f t="shared" si="0"/>
        <v>0</v>
      </c>
      <c r="F17" s="49">
        <f t="shared" si="0"/>
        <v>0</v>
      </c>
      <c r="G17" s="50"/>
      <c r="H17" s="50"/>
      <c r="I17" s="191">
        <f>SUM(I13:I16)</f>
        <v>8578250</v>
      </c>
      <c r="J17" s="192"/>
      <c r="K17" s="72"/>
      <c r="L17" s="96"/>
      <c r="M17" s="96"/>
      <c r="N17" s="97">
        <f>O17/100</f>
        <v>0</v>
      </c>
      <c r="O17" s="72"/>
      <c r="P17" s="72"/>
      <c r="Q17" s="128"/>
      <c r="R17" s="129">
        <v>60</v>
      </c>
      <c r="S17" s="130"/>
      <c r="T17" s="89"/>
      <c r="U17" s="89"/>
      <c r="V17" s="115">
        <v>500</v>
      </c>
      <c r="W17" s="116">
        <v>5</v>
      </c>
      <c r="X17" s="89"/>
      <c r="Y17" s="89"/>
      <c r="Z17" s="122"/>
      <c r="AA17" s="145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5"/>
    </row>
    <row r="18" spans="1:51" s="1" customFormat="1" ht="21" customHeight="1" thickBot="1">
      <c r="A18" s="2"/>
      <c r="B18" s="212" t="s">
        <v>62</v>
      </c>
      <c r="C18" s="215" t="s">
        <v>63</v>
      </c>
      <c r="D18" s="216"/>
      <c r="E18" s="216"/>
      <c r="F18" s="217"/>
      <c r="G18" s="51"/>
      <c r="H18" s="51"/>
      <c r="I18" s="257"/>
      <c r="J18" s="258"/>
      <c r="K18" s="98"/>
      <c r="L18" s="72"/>
      <c r="M18" s="72"/>
      <c r="N18" s="72"/>
      <c r="O18" s="98"/>
      <c r="P18" s="98"/>
      <c r="Q18" s="105">
        <v>0</v>
      </c>
      <c r="R18" s="126">
        <f>HLOOKUP($Q$12,$Z$12:$AX$23,12,FALSE)</f>
        <v>100</v>
      </c>
      <c r="S18" s="113">
        <v>0</v>
      </c>
      <c r="T18" s="89"/>
      <c r="U18" s="89"/>
      <c r="V18" s="115">
        <v>600</v>
      </c>
      <c r="W18" s="116">
        <v>6</v>
      </c>
      <c r="X18" s="89"/>
      <c r="Y18" s="89"/>
      <c r="Z18" s="251" t="s">
        <v>81</v>
      </c>
      <c r="AA18" s="142">
        <v>1</v>
      </c>
      <c r="AB18" s="142">
        <v>2</v>
      </c>
      <c r="AC18" s="147">
        <v>6</v>
      </c>
      <c r="AD18" s="147">
        <v>5</v>
      </c>
      <c r="AE18" s="147">
        <v>5</v>
      </c>
      <c r="AF18" s="147">
        <v>5</v>
      </c>
      <c r="AG18" s="147">
        <v>5</v>
      </c>
      <c r="AH18" s="147">
        <v>10</v>
      </c>
      <c r="AI18" s="147">
        <v>10</v>
      </c>
      <c r="AJ18" s="147">
        <v>10</v>
      </c>
      <c r="AK18" s="147">
        <v>10</v>
      </c>
      <c r="AL18" s="147">
        <v>10</v>
      </c>
      <c r="AM18" s="147">
        <v>12</v>
      </c>
      <c r="AN18" s="147">
        <v>15</v>
      </c>
      <c r="AO18" s="147">
        <v>15</v>
      </c>
      <c r="AP18" s="147">
        <v>15</v>
      </c>
      <c r="AQ18" s="147">
        <v>15</v>
      </c>
      <c r="AR18" s="147">
        <v>15</v>
      </c>
      <c r="AS18" s="147">
        <v>20</v>
      </c>
      <c r="AT18" s="147">
        <v>15</v>
      </c>
      <c r="AU18" s="147">
        <v>15</v>
      </c>
      <c r="AV18" s="147">
        <v>15</v>
      </c>
      <c r="AW18" s="147">
        <v>15</v>
      </c>
      <c r="AX18" s="147">
        <v>15</v>
      </c>
      <c r="AY18" s="152">
        <v>20</v>
      </c>
    </row>
    <row r="19" spans="1:51" s="1" customFormat="1" ht="21" customHeight="1" thickTop="1">
      <c r="A19" s="2"/>
      <c r="B19" s="213"/>
      <c r="C19" s="218" t="s">
        <v>11</v>
      </c>
      <c r="D19" s="219"/>
      <c r="E19" s="219"/>
      <c r="F19" s="220"/>
      <c r="G19" s="52"/>
      <c r="H19" s="52"/>
      <c r="I19" s="259"/>
      <c r="J19" s="260"/>
      <c r="K19" s="99"/>
      <c r="L19" s="72"/>
      <c r="M19" s="72"/>
      <c r="N19" s="72"/>
      <c r="O19" s="99"/>
      <c r="P19" s="99"/>
      <c r="Q19" s="99"/>
      <c r="R19" s="107"/>
      <c r="S19" s="107"/>
      <c r="T19" s="89"/>
      <c r="U19" s="89"/>
      <c r="V19" s="115">
        <v>700</v>
      </c>
      <c r="W19" s="116">
        <v>7</v>
      </c>
      <c r="X19" s="89"/>
      <c r="Y19" s="89"/>
      <c r="Z19" s="252"/>
      <c r="AA19" s="143">
        <v>2</v>
      </c>
      <c r="AB19" s="143">
        <v>8</v>
      </c>
      <c r="AC19" s="148">
        <v>10</v>
      </c>
      <c r="AD19" s="148">
        <v>10</v>
      </c>
      <c r="AE19" s="148">
        <v>10</v>
      </c>
      <c r="AF19" s="148">
        <v>12</v>
      </c>
      <c r="AG19" s="148">
        <v>15</v>
      </c>
      <c r="AH19" s="148">
        <v>10</v>
      </c>
      <c r="AI19" s="148">
        <v>15</v>
      </c>
      <c r="AJ19" s="148">
        <v>20</v>
      </c>
      <c r="AK19" s="148">
        <v>25</v>
      </c>
      <c r="AL19" s="148">
        <v>30</v>
      </c>
      <c r="AM19" s="148">
        <v>30</v>
      </c>
      <c r="AN19" s="148">
        <v>30</v>
      </c>
      <c r="AO19" s="148">
        <v>30</v>
      </c>
      <c r="AP19" s="148">
        <v>30</v>
      </c>
      <c r="AQ19" s="148">
        <v>35</v>
      </c>
      <c r="AR19" s="148">
        <v>20</v>
      </c>
      <c r="AS19" s="148">
        <v>25</v>
      </c>
      <c r="AT19" s="148">
        <v>25</v>
      </c>
      <c r="AU19" s="148">
        <v>25</v>
      </c>
      <c r="AV19" s="148">
        <v>25</v>
      </c>
      <c r="AW19" s="148">
        <v>25</v>
      </c>
      <c r="AX19" s="148">
        <v>25</v>
      </c>
      <c r="AY19" s="153">
        <v>25</v>
      </c>
    </row>
    <row r="20" spans="1:51" s="1" customFormat="1" ht="21" customHeight="1" thickBot="1">
      <c r="A20" s="2"/>
      <c r="B20" s="213"/>
      <c r="C20" s="193" t="s">
        <v>64</v>
      </c>
      <c r="D20" s="194"/>
      <c r="E20" s="194"/>
      <c r="F20" s="195"/>
      <c r="G20" s="53"/>
      <c r="H20" s="53"/>
      <c r="I20" s="255"/>
      <c r="J20" s="256"/>
      <c r="K20" s="99"/>
      <c r="L20" s="98"/>
      <c r="M20" s="98"/>
      <c r="N20" s="98"/>
      <c r="O20" s="99"/>
      <c r="P20" s="99"/>
      <c r="Q20" s="99"/>
      <c r="R20" s="107"/>
      <c r="S20" s="107"/>
      <c r="T20" s="89"/>
      <c r="U20" s="89"/>
      <c r="V20" s="115">
        <v>800</v>
      </c>
      <c r="W20" s="116">
        <v>8</v>
      </c>
      <c r="X20" s="89"/>
      <c r="Y20" s="89"/>
      <c r="Z20" s="252"/>
      <c r="AA20" s="143">
        <v>4</v>
      </c>
      <c r="AB20" s="143">
        <v>10</v>
      </c>
      <c r="AC20" s="148">
        <v>10</v>
      </c>
      <c r="AD20" s="148">
        <v>15</v>
      </c>
      <c r="AE20" s="148">
        <v>12</v>
      </c>
      <c r="AF20" s="148">
        <v>15</v>
      </c>
      <c r="AG20" s="148">
        <v>15</v>
      </c>
      <c r="AH20" s="148">
        <v>15</v>
      </c>
      <c r="AI20" s="148">
        <v>15</v>
      </c>
      <c r="AJ20" s="148">
        <v>15</v>
      </c>
      <c r="AK20" s="148">
        <v>15</v>
      </c>
      <c r="AL20" s="148">
        <v>15</v>
      </c>
      <c r="AM20" s="148">
        <v>20</v>
      </c>
      <c r="AN20" s="148">
        <v>20</v>
      </c>
      <c r="AO20" s="148">
        <v>15</v>
      </c>
      <c r="AP20" s="148">
        <v>20</v>
      </c>
      <c r="AQ20" s="148">
        <v>20</v>
      </c>
      <c r="AR20" s="148">
        <v>20</v>
      </c>
      <c r="AS20" s="148">
        <v>25</v>
      </c>
      <c r="AT20" s="148">
        <v>25</v>
      </c>
      <c r="AU20" s="148">
        <v>30</v>
      </c>
      <c r="AV20" s="148">
        <v>30</v>
      </c>
      <c r="AW20" s="148">
        <v>30</v>
      </c>
      <c r="AX20" s="148">
        <v>30</v>
      </c>
      <c r="AY20" s="153">
        <v>30</v>
      </c>
    </row>
    <row r="21" spans="1:51" s="1" customFormat="1" ht="21" customHeight="1" thickBot="1">
      <c r="A21" s="2"/>
      <c r="B21" s="213"/>
      <c r="C21" s="193" t="s">
        <v>65</v>
      </c>
      <c r="D21" s="194"/>
      <c r="E21" s="194"/>
      <c r="F21" s="195"/>
      <c r="G21" s="53"/>
      <c r="H21" s="53"/>
      <c r="I21" s="255"/>
      <c r="J21" s="256"/>
      <c r="K21" s="99"/>
      <c r="L21" s="100" t="s">
        <v>2</v>
      </c>
      <c r="M21" s="101" t="s">
        <v>90</v>
      </c>
      <c r="N21" s="99"/>
      <c r="O21" s="99"/>
      <c r="P21" s="99"/>
      <c r="Q21" s="99"/>
      <c r="R21" s="107"/>
      <c r="S21" s="107"/>
      <c r="T21" s="89"/>
      <c r="U21" s="89"/>
      <c r="V21" s="115">
        <v>900</v>
      </c>
      <c r="W21" s="116">
        <v>9</v>
      </c>
      <c r="X21" s="89"/>
      <c r="Y21" s="89"/>
      <c r="Z21" s="253"/>
      <c r="AA21" s="144">
        <v>4</v>
      </c>
      <c r="AB21" s="144">
        <v>10</v>
      </c>
      <c r="AC21" s="149">
        <v>10</v>
      </c>
      <c r="AD21" s="149">
        <v>10</v>
      </c>
      <c r="AE21" s="149">
        <v>15</v>
      </c>
      <c r="AF21" s="149">
        <v>15</v>
      </c>
      <c r="AG21" s="149">
        <v>20</v>
      </c>
      <c r="AH21" s="149">
        <v>20</v>
      </c>
      <c r="AI21" s="149">
        <v>20</v>
      </c>
      <c r="AJ21" s="149">
        <v>20</v>
      </c>
      <c r="AK21" s="149">
        <v>20</v>
      </c>
      <c r="AL21" s="149">
        <v>20</v>
      </c>
      <c r="AM21" s="149">
        <v>20</v>
      </c>
      <c r="AN21" s="149">
        <v>25</v>
      </c>
      <c r="AO21" s="149">
        <v>30</v>
      </c>
      <c r="AP21" s="149">
        <v>30</v>
      </c>
      <c r="AQ21" s="149">
        <v>30</v>
      </c>
      <c r="AR21" s="149">
        <v>30</v>
      </c>
      <c r="AS21" s="149">
        <v>30</v>
      </c>
      <c r="AT21" s="149">
        <v>30</v>
      </c>
      <c r="AU21" s="149">
        <v>30</v>
      </c>
      <c r="AV21" s="149">
        <v>25</v>
      </c>
      <c r="AW21" s="149">
        <v>30</v>
      </c>
      <c r="AX21" s="149">
        <v>35</v>
      </c>
      <c r="AY21" s="154">
        <v>35</v>
      </c>
    </row>
    <row r="22" spans="1:51" s="1" customFormat="1" ht="21" customHeight="1" thickTop="1" thickBot="1">
      <c r="A22" s="2"/>
      <c r="B22" s="213"/>
      <c r="C22" s="193" t="s">
        <v>66</v>
      </c>
      <c r="D22" s="194"/>
      <c r="E22" s="194"/>
      <c r="F22" s="195"/>
      <c r="G22" s="54"/>
      <c r="H22" s="53"/>
      <c r="I22" s="205"/>
      <c r="J22" s="206"/>
      <c r="K22" s="99"/>
      <c r="L22" s="102">
        <v>1</v>
      </c>
      <c r="M22" s="103"/>
      <c r="N22" s="99"/>
      <c r="O22" s="99"/>
      <c r="P22" s="99"/>
      <c r="Q22" s="99"/>
      <c r="R22" s="107"/>
      <c r="S22" s="107"/>
      <c r="T22" s="89"/>
      <c r="U22" s="89"/>
      <c r="V22" s="115">
        <v>1000</v>
      </c>
      <c r="W22" s="116">
        <v>10</v>
      </c>
      <c r="X22" s="89"/>
      <c r="Y22" s="89"/>
      <c r="Z22" s="127" t="s">
        <v>82</v>
      </c>
      <c r="AA22" s="145">
        <v>10</v>
      </c>
      <c r="AB22" s="145">
        <v>20</v>
      </c>
      <c r="AC22" s="150">
        <v>25</v>
      </c>
      <c r="AD22" s="150">
        <v>25</v>
      </c>
      <c r="AE22" s="150">
        <v>25</v>
      </c>
      <c r="AF22" s="150">
        <v>25</v>
      </c>
      <c r="AG22" s="150">
        <v>25</v>
      </c>
      <c r="AH22" s="150">
        <v>30</v>
      </c>
      <c r="AI22" s="150">
        <v>25</v>
      </c>
      <c r="AJ22" s="150">
        <v>30</v>
      </c>
      <c r="AK22" s="150">
        <v>30</v>
      </c>
      <c r="AL22" s="150">
        <v>40</v>
      </c>
      <c r="AM22" s="150">
        <v>40</v>
      </c>
      <c r="AN22" s="150">
        <v>40</v>
      </c>
      <c r="AO22" s="150">
        <v>50</v>
      </c>
      <c r="AP22" s="150">
        <v>50</v>
      </c>
      <c r="AQ22" s="150">
        <v>50</v>
      </c>
      <c r="AR22" s="150">
        <v>45</v>
      </c>
      <c r="AS22" s="150">
        <v>45</v>
      </c>
      <c r="AT22" s="150">
        <v>45</v>
      </c>
      <c r="AU22" s="150">
        <v>50</v>
      </c>
      <c r="AV22" s="150">
        <v>50</v>
      </c>
      <c r="AW22" s="150">
        <v>60</v>
      </c>
      <c r="AX22" s="150">
        <v>60</v>
      </c>
      <c r="AY22" s="155">
        <v>60</v>
      </c>
    </row>
    <row r="23" spans="1:51" s="1" customFormat="1" ht="21" customHeight="1" thickBot="1">
      <c r="A23" s="2"/>
      <c r="B23" s="213"/>
      <c r="C23" s="193" t="s">
        <v>12</v>
      </c>
      <c r="D23" s="194"/>
      <c r="E23" s="194"/>
      <c r="F23" s="195"/>
      <c r="G23" s="207" t="str">
        <f>IF(M25=0,,CONCATENATE(FIXED(M25,0)," 면×4,710 원/면"))</f>
        <v>100 면×4,710 원/면</v>
      </c>
      <c r="H23" s="208"/>
      <c r="I23" s="186">
        <f>ROUNDDOWN(M25*4710,)</f>
        <v>471000</v>
      </c>
      <c r="J23" s="187"/>
      <c r="K23" s="99"/>
      <c r="L23" s="91"/>
      <c r="M23" s="104"/>
      <c r="N23" s="99"/>
      <c r="O23" s="99"/>
      <c r="P23" s="99"/>
      <c r="Q23" s="99"/>
      <c r="R23" s="107"/>
      <c r="S23" s="107"/>
      <c r="T23" s="89"/>
      <c r="U23" s="89"/>
      <c r="V23" s="115">
        <v>1100</v>
      </c>
      <c r="W23" s="116">
        <v>11</v>
      </c>
      <c r="X23" s="89"/>
      <c r="Y23" s="89"/>
      <c r="Z23" s="121" t="s">
        <v>79</v>
      </c>
      <c r="AA23" s="141">
        <v>40</v>
      </c>
      <c r="AB23" s="141">
        <v>40</v>
      </c>
      <c r="AC23" s="146">
        <v>40</v>
      </c>
      <c r="AD23" s="146">
        <v>40</v>
      </c>
      <c r="AE23" s="146">
        <v>40</v>
      </c>
      <c r="AF23" s="146">
        <v>50</v>
      </c>
      <c r="AG23" s="146">
        <v>50</v>
      </c>
      <c r="AH23" s="146">
        <v>60</v>
      </c>
      <c r="AI23" s="146">
        <v>60</v>
      </c>
      <c r="AJ23" s="146">
        <v>60</v>
      </c>
      <c r="AK23" s="146">
        <v>60</v>
      </c>
      <c r="AL23" s="146">
        <v>60</v>
      </c>
      <c r="AM23" s="146">
        <v>80</v>
      </c>
      <c r="AN23" s="146">
        <v>90</v>
      </c>
      <c r="AO23" s="146">
        <v>90</v>
      </c>
      <c r="AP23" s="146">
        <v>90</v>
      </c>
      <c r="AQ23" s="146">
        <v>90</v>
      </c>
      <c r="AR23" s="146">
        <v>70</v>
      </c>
      <c r="AS23" s="146">
        <v>90</v>
      </c>
      <c r="AT23" s="146">
        <v>100</v>
      </c>
      <c r="AU23" s="146">
        <v>100</v>
      </c>
      <c r="AV23" s="146">
        <v>100</v>
      </c>
      <c r="AW23" s="146">
        <v>100</v>
      </c>
      <c r="AX23" s="146">
        <v>100</v>
      </c>
      <c r="AY23" s="151">
        <v>120</v>
      </c>
    </row>
    <row r="24" spans="1:51" s="1" customFormat="1" ht="21" customHeight="1" thickBot="1">
      <c r="A24" s="2"/>
      <c r="B24" s="213"/>
      <c r="C24" s="193" t="s">
        <v>13</v>
      </c>
      <c r="D24" s="194"/>
      <c r="E24" s="194"/>
      <c r="F24" s="195"/>
      <c r="G24" s="196"/>
      <c r="H24" s="197"/>
      <c r="I24" s="186"/>
      <c r="J24" s="187"/>
      <c r="K24" s="99"/>
      <c r="L24" s="95">
        <v>1</v>
      </c>
      <c r="M24" s="106">
        <v>0</v>
      </c>
      <c r="N24" s="99"/>
      <c r="O24" s="99"/>
      <c r="P24" s="99"/>
      <c r="Q24" s="99"/>
      <c r="R24" s="107"/>
      <c r="S24" s="107"/>
      <c r="T24" s="107"/>
      <c r="U24" s="107"/>
      <c r="V24" s="115">
        <v>1200</v>
      </c>
      <c r="W24" s="116">
        <v>12</v>
      </c>
      <c r="X24" s="107"/>
      <c r="Y24" s="107"/>
      <c r="Z24" s="120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72"/>
      <c r="AN24" s="72"/>
    </row>
    <row r="25" spans="1:51" s="1" customFormat="1" ht="21" customHeight="1" thickBot="1">
      <c r="A25" s="2"/>
      <c r="B25" s="213"/>
      <c r="C25" s="193" t="s">
        <v>14</v>
      </c>
      <c r="D25" s="194"/>
      <c r="E25" s="194"/>
      <c r="F25" s="195"/>
      <c r="G25" s="196"/>
      <c r="H25" s="197"/>
      <c r="I25" s="186"/>
      <c r="J25" s="187"/>
      <c r="K25" s="164"/>
      <c r="L25" s="108" t="s">
        <v>4</v>
      </c>
      <c r="M25" s="109">
        <v>100</v>
      </c>
      <c r="N25" s="98"/>
      <c r="O25" s="99"/>
      <c r="P25" s="99"/>
      <c r="Q25" s="99"/>
      <c r="R25" s="99"/>
      <c r="S25" s="99"/>
      <c r="T25" s="107"/>
      <c r="U25" s="107"/>
      <c r="V25" s="115">
        <v>1300</v>
      </c>
      <c r="W25" s="116">
        <v>13</v>
      </c>
      <c r="X25" s="107"/>
      <c r="Y25" s="107"/>
      <c r="Z25" s="107"/>
      <c r="AA25" s="107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</row>
    <row r="26" spans="1:51" s="1" customFormat="1" ht="21" customHeight="1" thickBot="1">
      <c r="A26" s="2"/>
      <c r="B26" s="213"/>
      <c r="C26" s="193" t="s">
        <v>15</v>
      </c>
      <c r="D26" s="194"/>
      <c r="E26" s="194"/>
      <c r="F26" s="195"/>
      <c r="G26" s="196"/>
      <c r="H26" s="197"/>
      <c r="I26" s="186"/>
      <c r="J26" s="187"/>
      <c r="K26" s="99"/>
      <c r="L26" s="71"/>
      <c r="M26" s="71"/>
      <c r="N26" s="99"/>
      <c r="O26" s="99"/>
      <c r="P26" s="99"/>
      <c r="Q26" s="99"/>
      <c r="R26" s="99"/>
      <c r="S26" s="99"/>
      <c r="T26" s="107"/>
      <c r="U26" s="107"/>
      <c r="V26" s="115">
        <v>1400</v>
      </c>
      <c r="W26" s="116">
        <v>14</v>
      </c>
      <c r="X26" s="107"/>
      <c r="Y26" s="10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72"/>
      <c r="AM26" s="72"/>
    </row>
    <row r="27" spans="1:51" s="1" customFormat="1" ht="21" customHeight="1" thickBot="1">
      <c r="A27" s="2"/>
      <c r="B27" s="213"/>
      <c r="C27" s="193" t="s">
        <v>16</v>
      </c>
      <c r="D27" s="194"/>
      <c r="E27" s="194"/>
      <c r="F27" s="195"/>
      <c r="G27" s="196"/>
      <c r="H27" s="197"/>
      <c r="I27" s="186"/>
      <c r="J27" s="187"/>
      <c r="K27" s="164"/>
      <c r="L27" s="100" t="s">
        <v>2</v>
      </c>
      <c r="M27" s="101" t="s">
        <v>5</v>
      </c>
      <c r="N27" s="99"/>
      <c r="O27" s="99"/>
      <c r="P27" s="99"/>
      <c r="Q27" s="99"/>
      <c r="R27" s="99"/>
      <c r="S27" s="99"/>
      <c r="T27" s="107"/>
      <c r="U27" s="107"/>
      <c r="V27" s="115">
        <v>1500</v>
      </c>
      <c r="W27" s="116">
        <v>15</v>
      </c>
      <c r="X27" s="107"/>
      <c r="Y27" s="10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72"/>
      <c r="AM27" s="72"/>
    </row>
    <row r="28" spans="1:51" s="1" customFormat="1" ht="21" customHeight="1" thickTop="1" thickBot="1">
      <c r="A28" s="2"/>
      <c r="B28" s="213"/>
      <c r="C28" s="193" t="s">
        <v>17</v>
      </c>
      <c r="D28" s="194"/>
      <c r="E28" s="194"/>
      <c r="F28" s="195"/>
      <c r="G28" s="196"/>
      <c r="H28" s="197"/>
      <c r="I28" s="186"/>
      <c r="J28" s="187"/>
      <c r="K28" s="99"/>
      <c r="L28" s="111"/>
      <c r="M28" s="112">
        <v>0</v>
      </c>
      <c r="N28" s="99"/>
      <c r="O28" s="99"/>
      <c r="P28" s="99"/>
      <c r="Q28" s="99"/>
      <c r="R28" s="99"/>
      <c r="S28" s="99"/>
      <c r="T28" s="107"/>
      <c r="U28" s="107"/>
      <c r="V28" s="115">
        <v>1600</v>
      </c>
      <c r="W28" s="116">
        <v>16</v>
      </c>
      <c r="X28" s="107"/>
      <c r="Y28" s="10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72"/>
      <c r="AM28" s="72"/>
    </row>
    <row r="29" spans="1:51" s="1" customFormat="1" ht="21" customHeight="1" thickBot="1">
      <c r="A29" s="2"/>
      <c r="B29" s="214"/>
      <c r="C29" s="221" t="s">
        <v>18</v>
      </c>
      <c r="D29" s="222"/>
      <c r="E29" s="222"/>
      <c r="F29" s="223"/>
      <c r="G29" s="55"/>
      <c r="H29" s="56"/>
      <c r="I29" s="198">
        <f>SUM(I23:J28)</f>
        <v>471000</v>
      </c>
      <c r="J29" s="199"/>
      <c r="K29" s="99"/>
      <c r="L29" s="100" t="s">
        <v>2</v>
      </c>
      <c r="M29" s="101" t="s">
        <v>3</v>
      </c>
      <c r="N29" s="99"/>
      <c r="O29" s="99"/>
      <c r="P29" s="99"/>
      <c r="Q29" s="99"/>
      <c r="R29" s="99"/>
      <c r="S29" s="99"/>
      <c r="T29" s="107"/>
      <c r="U29" s="107"/>
      <c r="V29" s="115">
        <v>1700</v>
      </c>
      <c r="W29" s="116">
        <v>17</v>
      </c>
      <c r="X29" s="107"/>
      <c r="Y29" s="10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72"/>
      <c r="AM29" s="72"/>
    </row>
    <row r="30" spans="1:51" s="1" customFormat="1" ht="21" customHeight="1" thickTop="1" thickBot="1">
      <c r="A30" s="2"/>
      <c r="B30" s="200" t="s">
        <v>67</v>
      </c>
      <c r="C30" s="201"/>
      <c r="D30" s="201"/>
      <c r="E30" s="201"/>
      <c r="F30" s="202"/>
      <c r="G30" s="57"/>
      <c r="H30" s="58"/>
      <c r="I30" s="203">
        <f>I17</f>
        <v>8578250</v>
      </c>
      <c r="J30" s="204"/>
      <c r="K30" s="96"/>
      <c r="L30" s="111"/>
      <c r="M30" s="112"/>
      <c r="N30" s="99"/>
      <c r="O30" s="99"/>
      <c r="P30" s="99"/>
      <c r="Q30" s="72"/>
      <c r="R30" s="72"/>
      <c r="S30" s="72"/>
      <c r="T30" s="107"/>
      <c r="U30" s="107"/>
      <c r="V30" s="115">
        <v>1800</v>
      </c>
      <c r="W30" s="116">
        <v>18</v>
      </c>
      <c r="X30" s="107"/>
      <c r="Y30" s="10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72"/>
      <c r="AM30" s="72"/>
    </row>
    <row r="31" spans="1:51" s="1" customFormat="1" ht="21" customHeight="1">
      <c r="A31" s="2"/>
      <c r="B31" s="183" t="s">
        <v>68</v>
      </c>
      <c r="C31" s="184"/>
      <c r="D31" s="184"/>
      <c r="E31" s="184"/>
      <c r="F31" s="185"/>
      <c r="G31" s="59"/>
      <c r="H31" s="60"/>
      <c r="I31" s="186">
        <f>I29</f>
        <v>471000</v>
      </c>
      <c r="J31" s="187"/>
      <c r="K31" s="96"/>
      <c r="L31" s="99"/>
      <c r="M31" s="99"/>
      <c r="N31" s="99"/>
      <c r="O31" s="99"/>
      <c r="P31" s="99"/>
      <c r="Q31" s="71"/>
      <c r="R31" s="71"/>
      <c r="S31" s="71"/>
      <c r="T31" s="107"/>
      <c r="U31" s="107"/>
      <c r="V31" s="115">
        <v>1900</v>
      </c>
      <c r="W31" s="116">
        <v>19</v>
      </c>
      <c r="X31" s="107"/>
      <c r="Y31" s="10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72"/>
      <c r="AM31" s="72"/>
    </row>
    <row r="32" spans="1:51" s="1" customFormat="1" ht="21" customHeight="1">
      <c r="A32" s="2"/>
      <c r="B32" s="183" t="s">
        <v>69</v>
      </c>
      <c r="C32" s="184"/>
      <c r="D32" s="184"/>
      <c r="E32" s="184"/>
      <c r="F32" s="185"/>
      <c r="G32" s="61" t="s">
        <v>20</v>
      </c>
      <c r="H32" s="62"/>
      <c r="I32" s="186">
        <f>ROUNDDOWN(SUM(I30,I31)*5%,)</f>
        <v>452462</v>
      </c>
      <c r="J32" s="187"/>
      <c r="K32" s="96"/>
      <c r="L32" s="99"/>
      <c r="M32" s="99"/>
      <c r="N32" s="99"/>
      <c r="O32" s="99"/>
      <c r="P32" s="99"/>
      <c r="Q32" s="114"/>
      <c r="R32" s="114"/>
      <c r="S32" s="114"/>
      <c r="T32" s="107"/>
      <c r="U32" s="107"/>
      <c r="V32" s="115">
        <v>2000</v>
      </c>
      <c r="W32" s="116">
        <v>20</v>
      </c>
      <c r="X32" s="107"/>
      <c r="Y32" s="10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72"/>
      <c r="AM32" s="72"/>
    </row>
    <row r="33" spans="1:39" s="1" customFormat="1" ht="21" customHeight="1">
      <c r="A33" s="67"/>
      <c r="B33" s="183" t="s">
        <v>74</v>
      </c>
      <c r="C33" s="184"/>
      <c r="D33" s="184"/>
      <c r="E33" s="184"/>
      <c r="F33" s="185"/>
      <c r="G33" s="61" t="s">
        <v>70</v>
      </c>
      <c r="H33" s="62"/>
      <c r="I33" s="186">
        <f>INT((I32+I31+I30)*10%)-100000</f>
        <v>850171</v>
      </c>
      <c r="J33" s="187"/>
      <c r="K33" s="96">
        <f t="shared" ref="K33" si="1">INT((K32+K31)*15%)</f>
        <v>0</v>
      </c>
      <c r="L33" s="99"/>
      <c r="M33" s="99"/>
      <c r="N33" s="99"/>
      <c r="O33" s="99"/>
      <c r="P33" s="99"/>
      <c r="Q33" s="71"/>
      <c r="R33" s="71"/>
      <c r="S33" s="71"/>
      <c r="T33" s="107"/>
      <c r="U33" s="107"/>
      <c r="V33" s="115">
        <v>2100</v>
      </c>
      <c r="W33" s="116">
        <v>21</v>
      </c>
      <c r="X33" s="107"/>
      <c r="Y33" s="10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72"/>
      <c r="AM33" s="72"/>
    </row>
    <row r="34" spans="1:39" s="1" customFormat="1" ht="21" customHeight="1" thickBot="1">
      <c r="A34" s="67"/>
      <c r="B34" s="188" t="s">
        <v>75</v>
      </c>
      <c r="C34" s="189"/>
      <c r="D34" s="189"/>
      <c r="E34" s="189"/>
      <c r="F34" s="190"/>
      <c r="G34" s="63" t="s">
        <v>71</v>
      </c>
      <c r="H34" s="64"/>
      <c r="I34" s="191">
        <f>ROUNDDOWN(SUM(I30:J33),-5)</f>
        <v>10300000</v>
      </c>
      <c r="J34" s="192"/>
      <c r="K34" s="96"/>
      <c r="L34" s="99"/>
      <c r="M34" s="99"/>
      <c r="N34" s="99"/>
      <c r="O34" s="99"/>
      <c r="P34" s="99"/>
      <c r="Q34" s="71"/>
      <c r="R34" s="71"/>
      <c r="S34" s="71"/>
      <c r="T34" s="107"/>
      <c r="U34" s="107"/>
      <c r="V34" s="115">
        <v>2200</v>
      </c>
      <c r="W34" s="116">
        <v>22</v>
      </c>
      <c r="X34" s="107"/>
      <c r="Y34" s="10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72"/>
      <c r="AM34" s="72"/>
    </row>
    <row r="35" spans="1:39" ht="18.95" customHeight="1">
      <c r="A35" s="37"/>
      <c r="B35" s="37"/>
      <c r="C35" s="37"/>
      <c r="D35" s="37"/>
      <c r="E35" s="37"/>
      <c r="K35" s="72"/>
      <c r="M35" s="72"/>
      <c r="N35" s="72"/>
      <c r="O35" s="72"/>
      <c r="P35" s="72"/>
      <c r="T35" s="72"/>
      <c r="U35" s="72"/>
      <c r="V35" s="115">
        <v>2300</v>
      </c>
      <c r="W35" s="116">
        <v>23</v>
      </c>
      <c r="X35" s="72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</row>
    <row r="36" spans="1:39" ht="18.95" customHeight="1">
      <c r="A36" s="37"/>
      <c r="B36" s="37"/>
      <c r="C36" s="37"/>
      <c r="D36" s="37"/>
      <c r="E36" s="37"/>
      <c r="V36" s="115">
        <v>2400</v>
      </c>
      <c r="W36" s="116">
        <v>24</v>
      </c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</row>
    <row r="37" spans="1:39" ht="18.95" customHeight="1">
      <c r="B37" s="157"/>
      <c r="C37" s="209"/>
      <c r="D37" s="209"/>
      <c r="E37" s="209"/>
      <c r="F37" s="20"/>
      <c r="G37" s="20"/>
      <c r="H37" s="20"/>
      <c r="I37" s="20"/>
      <c r="J37" s="20"/>
      <c r="K37" s="82"/>
      <c r="M37" s="181"/>
      <c r="N37" s="181"/>
      <c r="O37" s="181"/>
      <c r="P37" s="114"/>
      <c r="T37" s="114"/>
      <c r="U37" s="114"/>
      <c r="V37" s="115">
        <v>2500</v>
      </c>
      <c r="W37" s="116">
        <v>25</v>
      </c>
      <c r="X37" s="114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</row>
    <row r="38" spans="1:39" ht="29.25" customHeight="1"/>
    <row r="39" spans="1:39" ht="29.25" customHeight="1"/>
    <row r="40" spans="1:39" ht="29.25" customHeight="1"/>
    <row r="41" spans="1:39" ht="29.25" customHeight="1"/>
    <row r="42" spans="1:39" ht="29.25" customHeight="1"/>
    <row r="43" spans="1:39" ht="29.25" customHeight="1"/>
    <row r="44" spans="1:39" ht="29.25" customHeight="1"/>
    <row r="45" spans="1:39" ht="29.25" customHeight="1"/>
    <row r="46" spans="1:39" ht="29.25" customHeight="1"/>
    <row r="47" spans="1:39" ht="29.25" customHeight="1"/>
    <row r="48" spans="1:39" ht="29.25" customHeight="1"/>
    <row r="49" ht="29.25" customHeight="1"/>
    <row r="50" ht="29.25" customHeight="1"/>
    <row r="51" ht="29.25" customHeight="1"/>
    <row r="52" ht="29.25" customHeight="1"/>
    <row r="53" ht="29.25" customHeight="1"/>
  </sheetData>
  <mergeCells count="68">
    <mergeCell ref="Q12:S12"/>
    <mergeCell ref="Z13:Z16"/>
    <mergeCell ref="Z18:Z21"/>
    <mergeCell ref="B13:B17"/>
    <mergeCell ref="I13:J13"/>
    <mergeCell ref="I14:J14"/>
    <mergeCell ref="I15:J15"/>
    <mergeCell ref="I16:J16"/>
    <mergeCell ref="I17:J17"/>
    <mergeCell ref="I20:J20"/>
    <mergeCell ref="I21:J21"/>
    <mergeCell ref="I18:J18"/>
    <mergeCell ref="I19:J19"/>
    <mergeCell ref="C14:D14"/>
    <mergeCell ref="B2:J2"/>
    <mergeCell ref="H11:H12"/>
    <mergeCell ref="I11:J12"/>
    <mergeCell ref="E5:J5"/>
    <mergeCell ref="E7:J7"/>
    <mergeCell ref="E8:J8"/>
    <mergeCell ref="E9:J9"/>
    <mergeCell ref="E6:J6"/>
    <mergeCell ref="C37:E37"/>
    <mergeCell ref="E11:F11"/>
    <mergeCell ref="B18:B29"/>
    <mergeCell ref="C20:F20"/>
    <mergeCell ref="C21:F21"/>
    <mergeCell ref="C18:F18"/>
    <mergeCell ref="C19:F19"/>
    <mergeCell ref="C22:F22"/>
    <mergeCell ref="C25:F25"/>
    <mergeCell ref="C27:F27"/>
    <mergeCell ref="C29:F29"/>
    <mergeCell ref="B11:D12"/>
    <mergeCell ref="C13:D13"/>
    <mergeCell ref="C15:D15"/>
    <mergeCell ref="C16:D16"/>
    <mergeCell ref="C17:D17"/>
    <mergeCell ref="I22:J22"/>
    <mergeCell ref="C23:F23"/>
    <mergeCell ref="G23:H23"/>
    <mergeCell ref="I23:J23"/>
    <mergeCell ref="C24:F24"/>
    <mergeCell ref="G24:H24"/>
    <mergeCell ref="I24:J24"/>
    <mergeCell ref="B30:F30"/>
    <mergeCell ref="I30:J30"/>
    <mergeCell ref="G25:H25"/>
    <mergeCell ref="I25:J25"/>
    <mergeCell ref="C26:F26"/>
    <mergeCell ref="G26:H26"/>
    <mergeCell ref="I26:J26"/>
    <mergeCell ref="M37:O37"/>
    <mergeCell ref="E4:J4"/>
    <mergeCell ref="B32:F32"/>
    <mergeCell ref="I32:J32"/>
    <mergeCell ref="B33:F33"/>
    <mergeCell ref="I33:J33"/>
    <mergeCell ref="B34:F34"/>
    <mergeCell ref="I34:J34"/>
    <mergeCell ref="C28:F28"/>
    <mergeCell ref="G28:H28"/>
    <mergeCell ref="I28:J28"/>
    <mergeCell ref="B31:F31"/>
    <mergeCell ref="G27:H27"/>
    <mergeCell ref="I27:J27"/>
    <mergeCell ref="I31:J31"/>
    <mergeCell ref="I29:J29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9"/>
  <sheetViews>
    <sheetView showGridLines="0" showZeros="0" view="pageBreakPreview" topLeftCell="B1" zoomScale="96" zoomScaleSheetLayoutView="96" workbookViewId="0">
      <selection activeCell="C14" sqref="C14:BG14"/>
    </sheetView>
  </sheetViews>
  <sheetFormatPr defaultRowHeight="13.5"/>
  <cols>
    <col min="1" max="1" width="1.625" style="135" hidden="1" customWidth="1"/>
    <col min="2" max="12" width="1.625" style="135" customWidth="1"/>
    <col min="13" max="42" width="1.5" style="135" customWidth="1"/>
    <col min="43" max="43" width="2.5" style="135" customWidth="1"/>
    <col min="44" max="59" width="1.5" style="135" customWidth="1"/>
    <col min="60" max="60" width="0.625" style="1" customWidth="1"/>
    <col min="61" max="62" width="12.75" style="135" hidden="1" customWidth="1"/>
    <col min="63" max="63" width="10.5" style="135" hidden="1" customWidth="1"/>
    <col min="64" max="65" width="12.75" style="135" hidden="1" customWidth="1"/>
    <col min="66" max="66" width="5.625" style="135" customWidth="1"/>
    <col min="67" max="67" width="12" style="135" customWidth="1"/>
    <col min="68" max="77" width="5.625" style="135" customWidth="1"/>
    <col min="78" max="16384" width="9" style="135"/>
  </cols>
  <sheetData>
    <row r="1" spans="2:75"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18"/>
      <c r="AP1" s="318"/>
      <c r="AQ1" s="318"/>
      <c r="AR1" s="318"/>
      <c r="AS1" s="318"/>
      <c r="AT1" s="318"/>
      <c r="AU1" s="318"/>
      <c r="AV1" s="318"/>
      <c r="AW1" s="318"/>
      <c r="AX1" s="318"/>
      <c r="AY1" s="318"/>
      <c r="AZ1" s="318"/>
      <c r="BA1" s="318"/>
      <c r="BB1" s="318"/>
      <c r="BC1" s="318"/>
      <c r="BD1" s="318"/>
      <c r="BE1" s="318"/>
      <c r="BF1" s="318"/>
      <c r="BG1" s="318"/>
    </row>
    <row r="2" spans="2:75" ht="24.75">
      <c r="C2" s="319" t="s">
        <v>45</v>
      </c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</row>
    <row r="3" spans="2:75" ht="18.75" customHeight="1"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0"/>
      <c r="AW3" s="320"/>
      <c r="AX3" s="320"/>
      <c r="AY3" s="320"/>
      <c r="AZ3" s="320"/>
      <c r="BA3" s="320"/>
      <c r="BB3" s="320"/>
      <c r="BC3" s="320"/>
      <c r="BD3" s="320"/>
      <c r="BE3" s="320"/>
      <c r="BF3" s="320"/>
      <c r="BG3" s="320"/>
    </row>
    <row r="4" spans="2:75" ht="18.75" customHeight="1">
      <c r="C4" s="280" t="s">
        <v>49</v>
      </c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0"/>
      <c r="AP4" s="280"/>
      <c r="AQ4" s="280"/>
      <c r="AR4" s="280"/>
      <c r="AS4" s="280"/>
      <c r="AT4" s="280"/>
      <c r="AU4" s="280"/>
      <c r="AV4" s="280"/>
      <c r="AW4" s="280"/>
      <c r="AX4" s="280"/>
      <c r="AY4" s="280"/>
      <c r="AZ4" s="280"/>
      <c r="BA4" s="280"/>
      <c r="BB4" s="280"/>
      <c r="BC4" s="280"/>
      <c r="BD4" s="280"/>
      <c r="BE4" s="280"/>
      <c r="BF4" s="280"/>
      <c r="BG4" s="280"/>
    </row>
    <row r="5" spans="2:75" ht="18.75" customHeight="1" thickBot="1">
      <c r="C5" s="280" t="s">
        <v>83</v>
      </c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  <c r="AB5" s="280"/>
      <c r="AC5" s="280"/>
      <c r="AD5" s="280"/>
      <c r="AE5" s="280"/>
      <c r="AF5" s="280"/>
      <c r="AG5" s="280"/>
      <c r="AH5" s="280"/>
      <c r="AI5" s="280"/>
      <c r="AJ5" s="280"/>
      <c r="AK5" s="280"/>
      <c r="AL5" s="280"/>
      <c r="AM5" s="280"/>
      <c r="AN5" s="280"/>
      <c r="AO5" s="280"/>
      <c r="AP5" s="280"/>
      <c r="AQ5" s="280"/>
      <c r="AR5" s="280"/>
      <c r="AS5" s="280"/>
      <c r="AT5" s="280"/>
      <c r="AU5" s="280"/>
      <c r="AV5" s="280"/>
      <c r="AW5" s="280"/>
      <c r="AX5" s="280"/>
      <c r="AY5" s="280"/>
      <c r="AZ5" s="280"/>
      <c r="BA5" s="280"/>
      <c r="BB5" s="280"/>
      <c r="BC5" s="280"/>
      <c r="BD5" s="280"/>
      <c r="BE5" s="280"/>
      <c r="BF5" s="280"/>
      <c r="BG5" s="280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spans="2:75" ht="18.75" customHeight="1">
      <c r="C6" s="224" t="s">
        <v>61</v>
      </c>
      <c r="D6" s="225"/>
      <c r="E6" s="225"/>
      <c r="F6" s="225"/>
      <c r="G6" s="225"/>
      <c r="H6" s="225"/>
      <c r="I6" s="225"/>
      <c r="J6" s="225"/>
      <c r="K6" s="225"/>
      <c r="L6" s="226"/>
      <c r="M6" s="239" t="s">
        <v>34</v>
      </c>
      <c r="N6" s="225"/>
      <c r="O6" s="225"/>
      <c r="P6" s="225"/>
      <c r="Q6" s="225"/>
      <c r="R6" s="225"/>
      <c r="S6" s="225"/>
      <c r="T6" s="226"/>
      <c r="U6" s="210" t="s">
        <v>50</v>
      </c>
      <c r="V6" s="283"/>
      <c r="W6" s="283"/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K6" s="283"/>
      <c r="AL6" s="283"/>
      <c r="AM6" s="283"/>
      <c r="AN6" s="283"/>
      <c r="AO6" s="283"/>
      <c r="AP6" s="283"/>
      <c r="AQ6" s="283"/>
      <c r="AR6" s="283"/>
      <c r="AS6" s="283"/>
      <c r="AT6" s="283"/>
      <c r="AU6" s="283"/>
      <c r="AV6" s="283"/>
      <c r="AW6" s="283"/>
      <c r="AX6" s="283"/>
      <c r="AY6" s="211"/>
      <c r="AZ6" s="239" t="s">
        <v>19</v>
      </c>
      <c r="BA6" s="225"/>
      <c r="BB6" s="225"/>
      <c r="BC6" s="225"/>
      <c r="BD6" s="225"/>
      <c r="BE6" s="225"/>
      <c r="BF6" s="225"/>
      <c r="BG6" s="240"/>
    </row>
    <row r="7" spans="2:75" ht="18.75" customHeight="1" thickBot="1">
      <c r="B7" s="166"/>
      <c r="C7" s="227"/>
      <c r="D7" s="228"/>
      <c r="E7" s="228"/>
      <c r="F7" s="228"/>
      <c r="G7" s="228"/>
      <c r="H7" s="228"/>
      <c r="I7" s="228"/>
      <c r="J7" s="228"/>
      <c r="K7" s="228"/>
      <c r="L7" s="229"/>
      <c r="M7" s="241"/>
      <c r="N7" s="228"/>
      <c r="O7" s="228"/>
      <c r="P7" s="228"/>
      <c r="Q7" s="228"/>
      <c r="R7" s="228"/>
      <c r="S7" s="228"/>
      <c r="T7" s="229"/>
      <c r="U7" s="241" t="s">
        <v>46</v>
      </c>
      <c r="V7" s="228"/>
      <c r="W7" s="228"/>
      <c r="X7" s="228"/>
      <c r="Y7" s="228"/>
      <c r="Z7" s="228"/>
      <c r="AA7" s="228"/>
      <c r="AB7" s="229"/>
      <c r="AC7" s="241" t="s">
        <v>51</v>
      </c>
      <c r="AD7" s="228"/>
      <c r="AE7" s="228"/>
      <c r="AF7" s="228"/>
      <c r="AG7" s="228"/>
      <c r="AH7" s="228"/>
      <c r="AI7" s="228"/>
      <c r="AJ7" s="229"/>
      <c r="AK7" s="241" t="s">
        <v>47</v>
      </c>
      <c r="AL7" s="228"/>
      <c r="AM7" s="228"/>
      <c r="AN7" s="228"/>
      <c r="AO7" s="228"/>
      <c r="AP7" s="228"/>
      <c r="AQ7" s="229"/>
      <c r="AR7" s="241" t="s">
        <v>52</v>
      </c>
      <c r="AS7" s="228"/>
      <c r="AT7" s="228"/>
      <c r="AU7" s="228"/>
      <c r="AV7" s="228"/>
      <c r="AW7" s="228"/>
      <c r="AX7" s="228"/>
      <c r="AY7" s="229"/>
      <c r="AZ7" s="241"/>
      <c r="BA7" s="228"/>
      <c r="BB7" s="228"/>
      <c r="BC7" s="228"/>
      <c r="BD7" s="228"/>
      <c r="BE7" s="228"/>
      <c r="BF7" s="228"/>
      <c r="BG7" s="242"/>
    </row>
    <row r="8" spans="2:75" ht="18.75" customHeight="1" thickTop="1">
      <c r="C8" s="305" t="s">
        <v>41</v>
      </c>
      <c r="D8" s="306"/>
      <c r="E8" s="306"/>
      <c r="F8" s="306"/>
      <c r="G8" s="306"/>
      <c r="H8" s="306"/>
      <c r="I8" s="306"/>
      <c r="J8" s="306"/>
      <c r="K8" s="306"/>
      <c r="L8" s="307"/>
      <c r="M8" s="261">
        <v>0.5</v>
      </c>
      <c r="N8" s="262"/>
      <c r="O8" s="262"/>
      <c r="P8" s="262"/>
      <c r="Q8" s="262"/>
      <c r="R8" s="262"/>
      <c r="S8" s="262"/>
      <c r="T8" s="263"/>
      <c r="U8" s="315">
        <v>3622585</v>
      </c>
      <c r="V8" s="316"/>
      <c r="W8" s="316"/>
      <c r="X8" s="316"/>
      <c r="Y8" s="316"/>
      <c r="Z8" s="316"/>
      <c r="AA8" s="316"/>
      <c r="AB8" s="317"/>
      <c r="AC8" s="264">
        <f>ROUNDDOWN(U8/12*4,)</f>
        <v>1207528</v>
      </c>
      <c r="AD8" s="265"/>
      <c r="AE8" s="265"/>
      <c r="AF8" s="265"/>
      <c r="AG8" s="265"/>
      <c r="AH8" s="265"/>
      <c r="AI8" s="265"/>
      <c r="AJ8" s="266"/>
      <c r="AK8" s="264">
        <f>ROUNDDOWN(SUM(U8:AJ8)/12,)</f>
        <v>402509</v>
      </c>
      <c r="AL8" s="265"/>
      <c r="AM8" s="265"/>
      <c r="AN8" s="265"/>
      <c r="AO8" s="265"/>
      <c r="AP8" s="265"/>
      <c r="AQ8" s="266"/>
      <c r="AR8" s="264">
        <f>SUM(U8:AQ8)</f>
        <v>5232622</v>
      </c>
      <c r="AS8" s="265"/>
      <c r="AT8" s="265"/>
      <c r="AU8" s="265"/>
      <c r="AV8" s="265"/>
      <c r="AW8" s="265"/>
      <c r="AX8" s="265"/>
      <c r="AY8" s="266"/>
      <c r="AZ8" s="264">
        <f>ROUNDDOWN(AR8/22,)</f>
        <v>237846</v>
      </c>
      <c r="BA8" s="265"/>
      <c r="BB8" s="265"/>
      <c r="BC8" s="265"/>
      <c r="BD8" s="265"/>
      <c r="BE8" s="265"/>
      <c r="BF8" s="265"/>
      <c r="BG8" s="308"/>
      <c r="BI8" s="7">
        <f>U8*2</f>
        <v>7245170</v>
      </c>
      <c r="BJ8" s="8">
        <f>ROUNDDOWN(BI8/12*4,)</f>
        <v>2415056</v>
      </c>
      <c r="BK8" s="8">
        <f>ROUNDDOWN(SUM(BI8:BJ8)/12,)</f>
        <v>805018</v>
      </c>
      <c r="BL8" s="8">
        <f>SUM(BI8:BK8)</f>
        <v>10465244</v>
      </c>
      <c r="BM8" s="4">
        <f>ROUNDDOWN(BL8/22,)</f>
        <v>475692</v>
      </c>
      <c r="BN8" s="3"/>
      <c r="BO8" s="3">
        <v>3496704</v>
      </c>
      <c r="BP8" s="3"/>
      <c r="BQ8" s="3"/>
      <c r="BR8" s="1"/>
      <c r="BS8" s="1"/>
    </row>
    <row r="9" spans="2:75" ht="18.75" customHeight="1">
      <c r="C9" s="273" t="s">
        <v>6</v>
      </c>
      <c r="D9" s="274"/>
      <c r="E9" s="274"/>
      <c r="F9" s="274"/>
      <c r="G9" s="274"/>
      <c r="H9" s="274"/>
      <c r="I9" s="274"/>
      <c r="J9" s="274"/>
      <c r="K9" s="274"/>
      <c r="L9" s="275"/>
      <c r="M9" s="276">
        <v>0.5</v>
      </c>
      <c r="N9" s="277"/>
      <c r="O9" s="277"/>
      <c r="P9" s="277"/>
      <c r="Q9" s="277"/>
      <c r="R9" s="277"/>
      <c r="S9" s="277"/>
      <c r="T9" s="278"/>
      <c r="U9" s="312">
        <v>2777750</v>
      </c>
      <c r="V9" s="313"/>
      <c r="W9" s="313"/>
      <c r="X9" s="313"/>
      <c r="Y9" s="313"/>
      <c r="Z9" s="313"/>
      <c r="AA9" s="313"/>
      <c r="AB9" s="314"/>
      <c r="AC9" s="270">
        <f>ROUNDDOWN(U9/12*4,)</f>
        <v>925916</v>
      </c>
      <c r="AD9" s="271"/>
      <c r="AE9" s="271"/>
      <c r="AF9" s="271"/>
      <c r="AG9" s="271"/>
      <c r="AH9" s="271"/>
      <c r="AI9" s="271"/>
      <c r="AJ9" s="279"/>
      <c r="AK9" s="270">
        <f>ROUNDDOWN(SUM(U9:AJ9)/12,)</f>
        <v>308638</v>
      </c>
      <c r="AL9" s="271"/>
      <c r="AM9" s="271"/>
      <c r="AN9" s="271"/>
      <c r="AO9" s="271"/>
      <c r="AP9" s="271"/>
      <c r="AQ9" s="279"/>
      <c r="AR9" s="270">
        <f>SUM(U9:AQ9)</f>
        <v>4012304</v>
      </c>
      <c r="AS9" s="271"/>
      <c r="AT9" s="271"/>
      <c r="AU9" s="271"/>
      <c r="AV9" s="271"/>
      <c r="AW9" s="271"/>
      <c r="AX9" s="271"/>
      <c r="AY9" s="279"/>
      <c r="AZ9" s="270">
        <f>ROUNDDOWN(AR9/22,)</f>
        <v>182377</v>
      </c>
      <c r="BA9" s="271"/>
      <c r="BB9" s="271"/>
      <c r="BC9" s="271"/>
      <c r="BD9" s="271"/>
      <c r="BE9" s="271"/>
      <c r="BF9" s="271"/>
      <c r="BG9" s="272"/>
      <c r="BI9" s="9">
        <f>U9*2</f>
        <v>5555500</v>
      </c>
      <c r="BJ9" s="10">
        <f>ROUNDDOWN(BI9/12*4,)</f>
        <v>1851833</v>
      </c>
      <c r="BK9" s="10">
        <f>ROUNDDOWN(SUM(BI9:BJ9)/12,)</f>
        <v>617277</v>
      </c>
      <c r="BL9" s="10">
        <f>SUM(BI9:BK9)</f>
        <v>8024610</v>
      </c>
      <c r="BM9" s="5">
        <f>ROUNDDOWN(BL9/22,)</f>
        <v>364755</v>
      </c>
      <c r="BN9" s="3"/>
      <c r="BO9" s="3">
        <v>2681226</v>
      </c>
      <c r="BP9" s="3"/>
      <c r="BQ9" s="3"/>
      <c r="BR9" s="1"/>
      <c r="BS9" s="1"/>
    </row>
    <row r="10" spans="2:75" ht="18.75" customHeight="1">
      <c r="C10" s="273" t="s">
        <v>53</v>
      </c>
      <c r="D10" s="274"/>
      <c r="E10" s="274"/>
      <c r="F10" s="274"/>
      <c r="G10" s="274"/>
      <c r="H10" s="274"/>
      <c r="I10" s="274"/>
      <c r="J10" s="274"/>
      <c r="K10" s="274"/>
      <c r="L10" s="275"/>
      <c r="M10" s="276">
        <v>0.5</v>
      </c>
      <c r="N10" s="277"/>
      <c r="O10" s="277"/>
      <c r="P10" s="277"/>
      <c r="Q10" s="277"/>
      <c r="R10" s="277"/>
      <c r="S10" s="277"/>
      <c r="T10" s="278"/>
      <c r="U10" s="312">
        <v>1856832</v>
      </c>
      <c r="V10" s="313"/>
      <c r="W10" s="313"/>
      <c r="X10" s="313"/>
      <c r="Y10" s="313"/>
      <c r="Z10" s="313"/>
      <c r="AA10" s="313"/>
      <c r="AB10" s="314"/>
      <c r="AC10" s="270">
        <f>ROUNDDOWN(U10/12*4,)</f>
        <v>618944</v>
      </c>
      <c r="AD10" s="271"/>
      <c r="AE10" s="271"/>
      <c r="AF10" s="271"/>
      <c r="AG10" s="271"/>
      <c r="AH10" s="271"/>
      <c r="AI10" s="271"/>
      <c r="AJ10" s="279"/>
      <c r="AK10" s="270">
        <f>ROUNDDOWN(SUM(U10:AJ10)/12,)</f>
        <v>206314</v>
      </c>
      <c r="AL10" s="271"/>
      <c r="AM10" s="271"/>
      <c r="AN10" s="271"/>
      <c r="AO10" s="271"/>
      <c r="AP10" s="271"/>
      <c r="AQ10" s="279"/>
      <c r="AR10" s="270">
        <f>SUM(U10:AQ10)</f>
        <v>2682090</v>
      </c>
      <c r="AS10" s="271"/>
      <c r="AT10" s="271"/>
      <c r="AU10" s="271"/>
      <c r="AV10" s="271"/>
      <c r="AW10" s="271"/>
      <c r="AX10" s="271"/>
      <c r="AY10" s="279"/>
      <c r="AZ10" s="270">
        <f>ROUNDDOWN(AR10/22,)</f>
        <v>121913</v>
      </c>
      <c r="BA10" s="271"/>
      <c r="BB10" s="271"/>
      <c r="BC10" s="271"/>
      <c r="BD10" s="271"/>
      <c r="BE10" s="271"/>
      <c r="BF10" s="271"/>
      <c r="BG10" s="272"/>
      <c r="BI10" s="9">
        <f>U10*2</f>
        <v>3713664</v>
      </c>
      <c r="BJ10" s="10">
        <f>ROUNDDOWN(BI10/12*4,)</f>
        <v>1237888</v>
      </c>
      <c r="BK10" s="10">
        <f>ROUNDDOWN(SUM(BI10:BJ10)/12,)</f>
        <v>412629</v>
      </c>
      <c r="BL10" s="10">
        <f>SUM(BI10:BK10)</f>
        <v>5364181</v>
      </c>
      <c r="BM10" s="5">
        <f>ROUNDDOWN(BL10/22,)</f>
        <v>243826</v>
      </c>
      <c r="BN10" s="3"/>
      <c r="BO10" s="3">
        <v>1792309</v>
      </c>
      <c r="BP10" s="3"/>
      <c r="BQ10" s="3"/>
      <c r="BR10" s="1"/>
      <c r="BS10" s="1"/>
    </row>
    <row r="11" spans="2:75" ht="18.75" customHeight="1" thickBot="1">
      <c r="C11" s="296" t="s">
        <v>60</v>
      </c>
      <c r="D11" s="297"/>
      <c r="E11" s="297"/>
      <c r="F11" s="297"/>
      <c r="G11" s="297"/>
      <c r="H11" s="297"/>
      <c r="I11" s="297"/>
      <c r="J11" s="297"/>
      <c r="K11" s="297"/>
      <c r="L11" s="298"/>
      <c r="M11" s="299">
        <v>0.5</v>
      </c>
      <c r="N11" s="300"/>
      <c r="O11" s="300"/>
      <c r="P11" s="300"/>
      <c r="Q11" s="300"/>
      <c r="R11" s="300"/>
      <c r="S11" s="300"/>
      <c r="T11" s="301"/>
      <c r="U11" s="309">
        <v>1392671</v>
      </c>
      <c r="V11" s="310"/>
      <c r="W11" s="310"/>
      <c r="X11" s="310"/>
      <c r="Y11" s="310"/>
      <c r="Z11" s="310"/>
      <c r="AA11" s="310"/>
      <c r="AB11" s="311"/>
      <c r="AC11" s="267">
        <f>ROUNDDOWN(U11/12*4,)</f>
        <v>464223</v>
      </c>
      <c r="AD11" s="268"/>
      <c r="AE11" s="268"/>
      <c r="AF11" s="268"/>
      <c r="AG11" s="268"/>
      <c r="AH11" s="268"/>
      <c r="AI11" s="268"/>
      <c r="AJ11" s="269"/>
      <c r="AK11" s="267">
        <f>ROUNDDOWN(SUM(U11:AJ11)/12,)</f>
        <v>154741</v>
      </c>
      <c r="AL11" s="268"/>
      <c r="AM11" s="268"/>
      <c r="AN11" s="268"/>
      <c r="AO11" s="268"/>
      <c r="AP11" s="268"/>
      <c r="AQ11" s="269"/>
      <c r="AR11" s="267">
        <f>SUM(U11:AQ11)</f>
        <v>2011635</v>
      </c>
      <c r="AS11" s="268"/>
      <c r="AT11" s="268"/>
      <c r="AU11" s="268"/>
      <c r="AV11" s="268"/>
      <c r="AW11" s="268"/>
      <c r="AX11" s="268"/>
      <c r="AY11" s="269"/>
      <c r="AZ11" s="267">
        <f>ROUNDDOWN(AR11/22,)</f>
        <v>91437</v>
      </c>
      <c r="BA11" s="268"/>
      <c r="BB11" s="268"/>
      <c r="BC11" s="268"/>
      <c r="BD11" s="268"/>
      <c r="BE11" s="268"/>
      <c r="BF11" s="268"/>
      <c r="BG11" s="295"/>
      <c r="BI11" s="11">
        <f>U11*2</f>
        <v>2785342</v>
      </c>
      <c r="BJ11" s="12">
        <f>ROUNDDOWN(BI11/12*4,)</f>
        <v>928447</v>
      </c>
      <c r="BK11" s="12">
        <f>ROUNDDOWN(SUM(BI11:BJ11)/12,)</f>
        <v>309482</v>
      </c>
      <c r="BL11" s="12">
        <f>SUM(BI11:BK11)</f>
        <v>4023271</v>
      </c>
      <c r="BM11" s="6">
        <f>ROUNDDOWN(BL11/22,)</f>
        <v>182875</v>
      </c>
      <c r="BN11" s="3"/>
      <c r="BO11" s="3">
        <v>1344277</v>
      </c>
      <c r="BP11" s="3"/>
      <c r="BQ11" s="3"/>
      <c r="BR11" s="1"/>
      <c r="BS11" s="1"/>
    </row>
    <row r="12" spans="2:75"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2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 spans="2:75" ht="18" customHeight="1">
      <c r="C13" s="280" t="s">
        <v>114</v>
      </c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J13" s="1"/>
      <c r="BK13" s="1"/>
      <c r="BL13" s="1"/>
      <c r="BM13" s="1"/>
      <c r="BN13" s="1"/>
      <c r="BO13" s="1"/>
      <c r="BP13" s="1"/>
      <c r="BQ13" s="1"/>
      <c r="BR13" s="1"/>
      <c r="BS13" s="1"/>
      <c r="BW13" s="156" t="s">
        <v>85</v>
      </c>
    </row>
    <row r="14" spans="2:75" ht="18" customHeight="1">
      <c r="C14" s="280" t="s">
        <v>91</v>
      </c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J14" s="1"/>
      <c r="BK14" s="1"/>
      <c r="BL14" s="1"/>
      <c r="BM14" s="1"/>
      <c r="BN14" s="1"/>
      <c r="BO14" s="1"/>
      <c r="BP14" s="1"/>
      <c r="BQ14" s="1"/>
      <c r="BR14" s="1"/>
      <c r="BS14" s="1"/>
    </row>
    <row r="15" spans="2:75" ht="18" customHeight="1">
      <c r="C15" s="280" t="s">
        <v>92</v>
      </c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</row>
    <row r="16" spans="2:75" ht="18" customHeight="1">
      <c r="C16" s="280" t="s">
        <v>93</v>
      </c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0"/>
      <c r="AN16" s="280"/>
      <c r="AO16" s="280"/>
      <c r="AP16" s="280"/>
      <c r="AQ16" s="280"/>
      <c r="AR16" s="280"/>
      <c r="AS16" s="280"/>
      <c r="AT16" s="280"/>
      <c r="AU16" s="280"/>
      <c r="AV16" s="280"/>
      <c r="AW16" s="280"/>
      <c r="AX16" s="280"/>
      <c r="AY16" s="280"/>
      <c r="AZ16" s="280"/>
      <c r="BA16" s="280"/>
      <c r="BB16" s="280"/>
      <c r="BC16" s="280"/>
      <c r="BD16" s="280"/>
      <c r="BE16" s="280"/>
      <c r="BF16" s="280"/>
      <c r="BG16" s="280"/>
    </row>
    <row r="17" spans="1:77" s="172" customFormat="1" ht="18" customHeight="1">
      <c r="C17" s="280" t="s">
        <v>102</v>
      </c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1"/>
    </row>
    <row r="18" spans="1:77" ht="14.25" customHeight="1">
      <c r="C18" s="304"/>
      <c r="D18" s="304"/>
      <c r="E18" s="304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  <c r="AJ18" s="304"/>
      <c r="AK18" s="304"/>
      <c r="AL18" s="304"/>
      <c r="AM18" s="304"/>
      <c r="AN18" s="304"/>
      <c r="AO18" s="304"/>
      <c r="AP18" s="304"/>
      <c r="AQ18" s="304"/>
      <c r="AR18" s="304"/>
      <c r="AS18" s="304"/>
      <c r="AT18" s="304"/>
      <c r="AU18" s="304"/>
      <c r="AV18" s="304"/>
      <c r="AW18" s="304"/>
      <c r="AX18" s="304"/>
      <c r="AY18" s="304"/>
      <c r="AZ18" s="304"/>
      <c r="BA18" s="304"/>
      <c r="BB18" s="304"/>
      <c r="BC18" s="304"/>
      <c r="BD18" s="304"/>
      <c r="BE18" s="304"/>
      <c r="BF18" s="304"/>
      <c r="BG18" s="304"/>
    </row>
    <row r="19" spans="1:77" ht="18" customHeight="1" thickBot="1">
      <c r="C19" s="280" t="s">
        <v>84</v>
      </c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</row>
    <row r="20" spans="1:77" ht="18.75" customHeight="1">
      <c r="C20" s="224" t="s">
        <v>61</v>
      </c>
      <c r="D20" s="225"/>
      <c r="E20" s="225"/>
      <c r="F20" s="225"/>
      <c r="G20" s="225"/>
      <c r="H20" s="225"/>
      <c r="I20" s="225"/>
      <c r="J20" s="225"/>
      <c r="K20" s="225"/>
      <c r="L20" s="226"/>
      <c r="M20" s="239" t="s">
        <v>34</v>
      </c>
      <c r="N20" s="225"/>
      <c r="O20" s="225"/>
      <c r="P20" s="225"/>
      <c r="Q20" s="225"/>
      <c r="R20" s="225"/>
      <c r="S20" s="225"/>
      <c r="T20" s="226"/>
      <c r="U20" s="210" t="s">
        <v>50</v>
      </c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3"/>
      <c r="AX20" s="283"/>
      <c r="AY20" s="211"/>
      <c r="AZ20" s="239" t="s">
        <v>19</v>
      </c>
      <c r="BA20" s="225"/>
      <c r="BB20" s="225"/>
      <c r="BC20" s="225"/>
      <c r="BD20" s="225"/>
      <c r="BE20" s="225"/>
      <c r="BF20" s="225"/>
      <c r="BG20" s="240"/>
    </row>
    <row r="21" spans="1:77" ht="18.75" customHeight="1" thickBot="1">
      <c r="C21" s="227"/>
      <c r="D21" s="228"/>
      <c r="E21" s="228"/>
      <c r="F21" s="228"/>
      <c r="G21" s="228"/>
      <c r="H21" s="228"/>
      <c r="I21" s="228"/>
      <c r="J21" s="228"/>
      <c r="K21" s="228"/>
      <c r="L21" s="229"/>
      <c r="M21" s="241"/>
      <c r="N21" s="228"/>
      <c r="O21" s="228"/>
      <c r="P21" s="228"/>
      <c r="Q21" s="228"/>
      <c r="R21" s="228"/>
      <c r="S21" s="228"/>
      <c r="T21" s="229"/>
      <c r="U21" s="241" t="s">
        <v>46</v>
      </c>
      <c r="V21" s="228"/>
      <c r="W21" s="228"/>
      <c r="X21" s="228"/>
      <c r="Y21" s="228"/>
      <c r="Z21" s="228"/>
      <c r="AA21" s="228"/>
      <c r="AB21" s="229"/>
      <c r="AC21" s="241" t="s">
        <v>51</v>
      </c>
      <c r="AD21" s="228"/>
      <c r="AE21" s="228"/>
      <c r="AF21" s="228"/>
      <c r="AG21" s="228"/>
      <c r="AH21" s="228"/>
      <c r="AI21" s="228"/>
      <c r="AJ21" s="229"/>
      <c r="AK21" s="241" t="s">
        <v>47</v>
      </c>
      <c r="AL21" s="228"/>
      <c r="AM21" s="228"/>
      <c r="AN21" s="228"/>
      <c r="AO21" s="228"/>
      <c r="AP21" s="228"/>
      <c r="AQ21" s="229"/>
      <c r="AR21" s="241" t="s">
        <v>52</v>
      </c>
      <c r="AS21" s="228"/>
      <c r="AT21" s="228"/>
      <c r="AU21" s="228"/>
      <c r="AV21" s="228"/>
      <c r="AW21" s="228"/>
      <c r="AX21" s="228"/>
      <c r="AY21" s="229"/>
      <c r="AZ21" s="241"/>
      <c r="BA21" s="228"/>
      <c r="BB21" s="228"/>
      <c r="BC21" s="228"/>
      <c r="BD21" s="228"/>
      <c r="BE21" s="228"/>
      <c r="BF21" s="228"/>
      <c r="BG21" s="242"/>
    </row>
    <row r="22" spans="1:77" ht="18.75" customHeight="1" thickTop="1">
      <c r="C22" s="305" t="s">
        <v>41</v>
      </c>
      <c r="D22" s="306"/>
      <c r="E22" s="306"/>
      <c r="F22" s="306"/>
      <c r="G22" s="306"/>
      <c r="H22" s="306"/>
      <c r="I22" s="306"/>
      <c r="J22" s="306"/>
      <c r="K22" s="306"/>
      <c r="L22" s="307"/>
      <c r="M22" s="261">
        <f>산출내역서!N13</f>
        <v>0.35</v>
      </c>
      <c r="N22" s="262"/>
      <c r="O22" s="262"/>
      <c r="P22" s="262"/>
      <c r="Q22" s="262"/>
      <c r="R22" s="262"/>
      <c r="S22" s="262"/>
      <c r="T22" s="263"/>
      <c r="U22" s="264">
        <f>INT(U8*M22*2)</f>
        <v>2535809</v>
      </c>
      <c r="V22" s="265"/>
      <c r="W22" s="265"/>
      <c r="X22" s="265"/>
      <c r="Y22" s="265"/>
      <c r="Z22" s="265"/>
      <c r="AA22" s="265"/>
      <c r="AB22" s="266"/>
      <c r="AC22" s="264">
        <f>ROUNDDOWN(U22/12*4,)</f>
        <v>845269</v>
      </c>
      <c r="AD22" s="265"/>
      <c r="AE22" s="265"/>
      <c r="AF22" s="265"/>
      <c r="AG22" s="265"/>
      <c r="AH22" s="265"/>
      <c r="AI22" s="265"/>
      <c r="AJ22" s="266"/>
      <c r="AK22" s="264">
        <f>ROUNDDOWN(SUM(U22:AJ22)/12,)</f>
        <v>281756</v>
      </c>
      <c r="AL22" s="265"/>
      <c r="AM22" s="265"/>
      <c r="AN22" s="265"/>
      <c r="AO22" s="265"/>
      <c r="AP22" s="265"/>
      <c r="AQ22" s="266"/>
      <c r="AR22" s="264">
        <f>SUM(U22:AQ22)</f>
        <v>3662834</v>
      </c>
      <c r="AS22" s="265"/>
      <c r="AT22" s="265"/>
      <c r="AU22" s="265"/>
      <c r="AV22" s="265"/>
      <c r="AW22" s="265"/>
      <c r="AX22" s="265"/>
      <c r="AY22" s="266"/>
      <c r="AZ22" s="264">
        <f>ROUNDDOWN(AR22/22,)</f>
        <v>166492</v>
      </c>
      <c r="BA22" s="265"/>
      <c r="BB22" s="265"/>
      <c r="BC22" s="265"/>
      <c r="BD22" s="265"/>
      <c r="BE22" s="265"/>
      <c r="BF22" s="265"/>
      <c r="BG22" s="308"/>
      <c r="BI22" s="7">
        <f>U22*2</f>
        <v>5071618</v>
      </c>
      <c r="BJ22" s="8">
        <f>ROUNDDOWN(BI22/12*4,)</f>
        <v>1690539</v>
      </c>
      <c r="BK22" s="8">
        <f>ROUNDDOWN(SUM(BI22:BJ22)/12,)</f>
        <v>563513</v>
      </c>
      <c r="BL22" s="8">
        <f>SUM(BI22:BK22)</f>
        <v>7325670</v>
      </c>
      <c r="BM22" s="4">
        <f>ROUNDDOWN(BL22/22,)</f>
        <v>332985</v>
      </c>
      <c r="BN22" s="3"/>
      <c r="BO22" s="3"/>
      <c r="BP22" s="3"/>
      <c r="BQ22" s="3"/>
      <c r="BR22" s="1"/>
      <c r="BS22" s="1"/>
    </row>
    <row r="23" spans="1:77" ht="18.75" customHeight="1">
      <c r="C23" s="273" t="s">
        <v>6</v>
      </c>
      <c r="D23" s="274"/>
      <c r="E23" s="274"/>
      <c r="F23" s="274"/>
      <c r="G23" s="274"/>
      <c r="H23" s="274"/>
      <c r="I23" s="274"/>
      <c r="J23" s="274"/>
      <c r="K23" s="274"/>
      <c r="L23" s="275"/>
      <c r="M23" s="276">
        <f>산출내역서!N14</f>
        <v>0.5</v>
      </c>
      <c r="N23" s="277"/>
      <c r="O23" s="277"/>
      <c r="P23" s="277"/>
      <c r="Q23" s="277"/>
      <c r="R23" s="277"/>
      <c r="S23" s="277"/>
      <c r="T23" s="278"/>
      <c r="U23" s="270">
        <f>INT(U9*M23*2)</f>
        <v>2777750</v>
      </c>
      <c r="V23" s="271"/>
      <c r="W23" s="271"/>
      <c r="X23" s="271"/>
      <c r="Y23" s="271"/>
      <c r="Z23" s="271"/>
      <c r="AA23" s="271"/>
      <c r="AB23" s="279"/>
      <c r="AC23" s="270">
        <f>ROUNDDOWN(U23/12*4,)</f>
        <v>925916</v>
      </c>
      <c r="AD23" s="271"/>
      <c r="AE23" s="271"/>
      <c r="AF23" s="271"/>
      <c r="AG23" s="271"/>
      <c r="AH23" s="271"/>
      <c r="AI23" s="271"/>
      <c r="AJ23" s="279"/>
      <c r="AK23" s="270">
        <f>ROUNDDOWN(SUM(U23:AJ23)/12,)</f>
        <v>308638</v>
      </c>
      <c r="AL23" s="271"/>
      <c r="AM23" s="271"/>
      <c r="AN23" s="271"/>
      <c r="AO23" s="271"/>
      <c r="AP23" s="271"/>
      <c r="AQ23" s="279"/>
      <c r="AR23" s="270">
        <f>SUM(U23:AQ23)</f>
        <v>4012304</v>
      </c>
      <c r="AS23" s="271"/>
      <c r="AT23" s="271"/>
      <c r="AU23" s="271"/>
      <c r="AV23" s="271"/>
      <c r="AW23" s="271"/>
      <c r="AX23" s="271"/>
      <c r="AY23" s="279"/>
      <c r="AZ23" s="270">
        <f>ROUNDDOWN(AR23/22,)</f>
        <v>182377</v>
      </c>
      <c r="BA23" s="271"/>
      <c r="BB23" s="271"/>
      <c r="BC23" s="271"/>
      <c r="BD23" s="271"/>
      <c r="BE23" s="271"/>
      <c r="BF23" s="271"/>
      <c r="BG23" s="272"/>
      <c r="BI23" s="9">
        <f>U23*2</f>
        <v>5555500</v>
      </c>
      <c r="BJ23" s="10">
        <f>ROUNDDOWN(BI23/12*4,)</f>
        <v>1851833</v>
      </c>
      <c r="BK23" s="10">
        <f>ROUNDDOWN(SUM(BI23:BJ23)/12,)</f>
        <v>617277</v>
      </c>
      <c r="BL23" s="10">
        <f>SUM(BI23:BK23)</f>
        <v>8024610</v>
      </c>
      <c r="BM23" s="5">
        <f>ROUNDDOWN(BL23/22,)</f>
        <v>364755</v>
      </c>
      <c r="BN23" s="3"/>
      <c r="BO23" s="3"/>
      <c r="BP23" s="3"/>
      <c r="BQ23" s="3"/>
      <c r="BR23" s="1"/>
      <c r="BS23" s="1"/>
    </row>
    <row r="24" spans="1:77" ht="18.75" customHeight="1">
      <c r="B24" s="165"/>
      <c r="C24" s="273" t="s">
        <v>53</v>
      </c>
      <c r="D24" s="274"/>
      <c r="E24" s="274"/>
      <c r="F24" s="274"/>
      <c r="G24" s="274"/>
      <c r="H24" s="274"/>
      <c r="I24" s="274"/>
      <c r="J24" s="274"/>
      <c r="K24" s="274"/>
      <c r="L24" s="275"/>
      <c r="M24" s="276">
        <f>산출내역서!N15</f>
        <v>0.25</v>
      </c>
      <c r="N24" s="277"/>
      <c r="O24" s="277"/>
      <c r="P24" s="277"/>
      <c r="Q24" s="277"/>
      <c r="R24" s="277"/>
      <c r="S24" s="277"/>
      <c r="T24" s="278"/>
      <c r="U24" s="270">
        <f>INT(U10*M24*2)</f>
        <v>928416</v>
      </c>
      <c r="V24" s="271"/>
      <c r="W24" s="271"/>
      <c r="X24" s="271"/>
      <c r="Y24" s="271"/>
      <c r="Z24" s="271"/>
      <c r="AA24" s="271"/>
      <c r="AB24" s="279"/>
      <c r="AC24" s="270">
        <f>ROUNDDOWN(U24/12*4,)</f>
        <v>309472</v>
      </c>
      <c r="AD24" s="271"/>
      <c r="AE24" s="271"/>
      <c r="AF24" s="271"/>
      <c r="AG24" s="271"/>
      <c r="AH24" s="271"/>
      <c r="AI24" s="271"/>
      <c r="AJ24" s="279"/>
      <c r="AK24" s="270">
        <f>ROUNDDOWN(SUM(U24:AJ24)/12,)</f>
        <v>103157</v>
      </c>
      <c r="AL24" s="271"/>
      <c r="AM24" s="271"/>
      <c r="AN24" s="271"/>
      <c r="AO24" s="271"/>
      <c r="AP24" s="271"/>
      <c r="AQ24" s="279"/>
      <c r="AR24" s="270">
        <f>SUM(U24:AQ24)</f>
        <v>1341045</v>
      </c>
      <c r="AS24" s="271"/>
      <c r="AT24" s="271"/>
      <c r="AU24" s="271"/>
      <c r="AV24" s="271"/>
      <c r="AW24" s="271"/>
      <c r="AX24" s="271"/>
      <c r="AY24" s="279"/>
      <c r="AZ24" s="270">
        <f>ROUNDDOWN(AR24/22,)</f>
        <v>60956</v>
      </c>
      <c r="BA24" s="271"/>
      <c r="BB24" s="271"/>
      <c r="BC24" s="271"/>
      <c r="BD24" s="271"/>
      <c r="BE24" s="271"/>
      <c r="BF24" s="271"/>
      <c r="BG24" s="272"/>
      <c r="BI24" s="9">
        <f>U24*2</f>
        <v>1856832</v>
      </c>
      <c r="BJ24" s="10">
        <f>ROUNDDOWN(BI24/12*4,)</f>
        <v>618944</v>
      </c>
      <c r="BK24" s="10">
        <f>ROUNDDOWN(SUM(BI24:BJ24)/12,)</f>
        <v>206314</v>
      </c>
      <c r="BL24" s="10">
        <f>SUM(BI24:BK24)</f>
        <v>2682090</v>
      </c>
      <c r="BM24" s="5">
        <f>ROUNDDOWN(BL24/22,)</f>
        <v>121913</v>
      </c>
      <c r="BN24" s="3"/>
      <c r="BO24" s="3"/>
      <c r="BP24" s="3"/>
      <c r="BQ24" s="3"/>
      <c r="BR24" s="1"/>
      <c r="BS24" s="1"/>
    </row>
    <row r="25" spans="1:77" ht="18.75" customHeight="1" thickBot="1">
      <c r="C25" s="296" t="s">
        <v>60</v>
      </c>
      <c r="D25" s="297"/>
      <c r="E25" s="297"/>
      <c r="F25" s="297"/>
      <c r="G25" s="297"/>
      <c r="H25" s="297"/>
      <c r="I25" s="297"/>
      <c r="J25" s="297"/>
      <c r="K25" s="297"/>
      <c r="L25" s="298"/>
      <c r="M25" s="299">
        <f>산출내역서!N16</f>
        <v>0</v>
      </c>
      <c r="N25" s="300"/>
      <c r="O25" s="300"/>
      <c r="P25" s="300"/>
      <c r="Q25" s="300"/>
      <c r="R25" s="300"/>
      <c r="S25" s="300"/>
      <c r="T25" s="301"/>
      <c r="U25" s="267">
        <f>INT(U11*M25*2)</f>
        <v>0</v>
      </c>
      <c r="V25" s="268"/>
      <c r="W25" s="268"/>
      <c r="X25" s="268"/>
      <c r="Y25" s="268"/>
      <c r="Z25" s="268"/>
      <c r="AA25" s="268"/>
      <c r="AB25" s="269"/>
      <c r="AC25" s="267">
        <f>ROUNDDOWN(U25/12*4,)</f>
        <v>0</v>
      </c>
      <c r="AD25" s="268"/>
      <c r="AE25" s="268"/>
      <c r="AF25" s="268"/>
      <c r="AG25" s="268"/>
      <c r="AH25" s="268"/>
      <c r="AI25" s="268"/>
      <c r="AJ25" s="269"/>
      <c r="AK25" s="267">
        <f>ROUNDDOWN(SUM(U25:AJ25)/12,)</f>
        <v>0</v>
      </c>
      <c r="AL25" s="268"/>
      <c r="AM25" s="268"/>
      <c r="AN25" s="268"/>
      <c r="AO25" s="268"/>
      <c r="AP25" s="268"/>
      <c r="AQ25" s="269"/>
      <c r="AR25" s="267">
        <f>SUM(U25:AQ25)</f>
        <v>0</v>
      </c>
      <c r="AS25" s="268"/>
      <c r="AT25" s="268"/>
      <c r="AU25" s="268"/>
      <c r="AV25" s="268"/>
      <c r="AW25" s="268"/>
      <c r="AX25" s="268"/>
      <c r="AY25" s="269"/>
      <c r="AZ25" s="267">
        <f>ROUNDDOWN(AR25/22,)</f>
        <v>0</v>
      </c>
      <c r="BA25" s="268"/>
      <c r="BB25" s="268"/>
      <c r="BC25" s="268"/>
      <c r="BD25" s="268"/>
      <c r="BE25" s="268"/>
      <c r="BF25" s="268"/>
      <c r="BG25" s="295"/>
      <c r="BI25" s="11">
        <f>U25*2</f>
        <v>0</v>
      </c>
      <c r="BJ25" s="12">
        <f>ROUNDDOWN(BI25/12*4,)</f>
        <v>0</v>
      </c>
      <c r="BK25" s="12">
        <f>ROUNDDOWN(SUM(BI25:BJ25)/12,)</f>
        <v>0</v>
      </c>
      <c r="BL25" s="12">
        <f>SUM(BI25:BK25)</f>
        <v>0</v>
      </c>
      <c r="BM25" s="6">
        <f>ROUNDDOWN(BL25/22,)</f>
        <v>0</v>
      </c>
      <c r="BN25" s="3"/>
      <c r="BO25" s="3"/>
      <c r="BP25" s="3"/>
      <c r="BQ25" s="3"/>
      <c r="BR25" s="1"/>
      <c r="BS25" s="1"/>
    </row>
    <row r="26" spans="1:77" s="1" customFormat="1" ht="14.25" customHeight="1">
      <c r="A26" s="135"/>
      <c r="B26" s="135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  <c r="AH26" s="304"/>
      <c r="AI26" s="304"/>
      <c r="AJ26" s="304"/>
      <c r="AK26" s="304"/>
      <c r="AL26" s="304"/>
      <c r="AM26" s="304"/>
      <c r="AN26" s="304"/>
      <c r="AO26" s="304"/>
      <c r="AP26" s="304"/>
      <c r="AQ26" s="304"/>
      <c r="AR26" s="304"/>
      <c r="AS26" s="304"/>
      <c r="AT26" s="304"/>
      <c r="AU26" s="304"/>
      <c r="AV26" s="304"/>
      <c r="AW26" s="304"/>
      <c r="AX26" s="304"/>
      <c r="AY26" s="304"/>
      <c r="AZ26" s="304"/>
      <c r="BA26" s="304"/>
      <c r="BB26" s="304"/>
      <c r="BC26" s="304"/>
      <c r="BD26" s="304"/>
      <c r="BE26" s="304"/>
      <c r="BF26" s="304"/>
      <c r="BG26" s="304"/>
      <c r="BI26" s="135"/>
      <c r="BJ26" s="135"/>
      <c r="BK26" s="135"/>
      <c r="BL26" s="135"/>
      <c r="BM26" s="135"/>
      <c r="BN26" s="135"/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</row>
    <row r="27" spans="1:77" s="1" customFormat="1" ht="18.75" customHeight="1">
      <c r="A27" s="135"/>
      <c r="B27" s="135"/>
      <c r="C27" s="280" t="s">
        <v>54</v>
      </c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I27" s="135"/>
      <c r="BJ27" s="135"/>
      <c r="BK27" s="135"/>
      <c r="BL27" s="135"/>
      <c r="BM27" s="135"/>
      <c r="BN27" s="135"/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</row>
    <row r="28" spans="1:77" s="1" customFormat="1" ht="18.75" customHeight="1" thickBot="1">
      <c r="A28" s="135"/>
      <c r="B28" s="135"/>
      <c r="C28" s="280" t="s">
        <v>55</v>
      </c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I28" s="135"/>
      <c r="BJ28" s="135"/>
      <c r="BK28" s="135"/>
      <c r="BL28" s="135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</row>
    <row r="29" spans="1:77" s="1" customFormat="1" ht="14.25" customHeight="1">
      <c r="A29" s="135"/>
      <c r="B29" s="135"/>
      <c r="C29" s="224" t="s">
        <v>56</v>
      </c>
      <c r="D29" s="225"/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6"/>
      <c r="U29" s="239" t="s">
        <v>48</v>
      </c>
      <c r="V29" s="225"/>
      <c r="W29" s="225"/>
      <c r="X29" s="225"/>
      <c r="Y29" s="225"/>
      <c r="Z29" s="225"/>
      <c r="AA29" s="225"/>
      <c r="AB29" s="225"/>
      <c r="AC29" s="225"/>
      <c r="AD29" s="225"/>
      <c r="AE29" s="226"/>
      <c r="AF29" s="239" t="s">
        <v>57</v>
      </c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6"/>
      <c r="AR29" s="239" t="s">
        <v>58</v>
      </c>
      <c r="AS29" s="225"/>
      <c r="AT29" s="225"/>
      <c r="AU29" s="225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25"/>
      <c r="BG29" s="240"/>
      <c r="BI29" s="135"/>
      <c r="BJ29" s="135"/>
      <c r="BK29" s="135"/>
      <c r="BL29" s="135"/>
      <c r="BM29" s="135"/>
      <c r="BN29" s="135"/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</row>
    <row r="30" spans="1:77" s="1" customFormat="1" ht="14.25" customHeight="1" thickBot="1">
      <c r="A30" s="135"/>
      <c r="B30" s="135"/>
      <c r="C30" s="227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9"/>
      <c r="U30" s="241"/>
      <c r="V30" s="228"/>
      <c r="W30" s="228"/>
      <c r="X30" s="228"/>
      <c r="Y30" s="228"/>
      <c r="Z30" s="228"/>
      <c r="AA30" s="228"/>
      <c r="AB30" s="228"/>
      <c r="AC30" s="228"/>
      <c r="AD30" s="228"/>
      <c r="AE30" s="229"/>
      <c r="AF30" s="241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9"/>
      <c r="AR30" s="241"/>
      <c r="AS30" s="228"/>
      <c r="AT30" s="228"/>
      <c r="AU30" s="228"/>
      <c r="AV30" s="228"/>
      <c r="AW30" s="228"/>
      <c r="AX30" s="228"/>
      <c r="AY30" s="228"/>
      <c r="AZ30" s="228"/>
      <c r="BA30" s="228"/>
      <c r="BB30" s="228"/>
      <c r="BC30" s="228"/>
      <c r="BD30" s="228"/>
      <c r="BE30" s="228"/>
      <c r="BF30" s="228"/>
      <c r="BG30" s="242"/>
      <c r="BI30" s="135"/>
      <c r="BJ30" s="135"/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</row>
    <row r="31" spans="1:77" s="1" customFormat="1" ht="18.75" customHeight="1" thickTop="1">
      <c r="A31" s="135"/>
      <c r="B31" s="135"/>
      <c r="C31" s="288" t="s">
        <v>41</v>
      </c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90"/>
      <c r="U31" s="291" t="s">
        <v>43</v>
      </c>
      <c r="V31" s="289"/>
      <c r="W31" s="289"/>
      <c r="X31" s="289"/>
      <c r="Y31" s="289"/>
      <c r="Z31" s="289"/>
      <c r="AA31" s="289"/>
      <c r="AB31" s="289"/>
      <c r="AC31" s="289"/>
      <c r="AD31" s="289"/>
      <c r="AE31" s="290"/>
      <c r="AF31" s="133">
        <v>91000</v>
      </c>
      <c r="AG31" s="134"/>
      <c r="AH31" s="134"/>
      <c r="AI31" s="262">
        <v>91000</v>
      </c>
      <c r="AJ31" s="262"/>
      <c r="AK31" s="262"/>
      <c r="AL31" s="262"/>
      <c r="AM31" s="262"/>
      <c r="AN31" s="262"/>
      <c r="AO31" s="23"/>
      <c r="AP31" s="23"/>
      <c r="AQ31" s="24"/>
      <c r="AR31" s="2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7"/>
      <c r="BI31" s="135"/>
      <c r="BJ31" s="135"/>
      <c r="BK31" s="135"/>
      <c r="BL31" s="135"/>
      <c r="BM31" s="135"/>
      <c r="BN31" s="135"/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</row>
    <row r="32" spans="1:77" s="1" customFormat="1" ht="18.75" customHeight="1">
      <c r="A32" s="135"/>
      <c r="B32" s="135"/>
      <c r="C32" s="292" t="s">
        <v>6</v>
      </c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4"/>
      <c r="U32" s="302" t="s">
        <v>0</v>
      </c>
      <c r="V32" s="293"/>
      <c r="W32" s="293"/>
      <c r="X32" s="293"/>
      <c r="Y32" s="293"/>
      <c r="Z32" s="293"/>
      <c r="AA32" s="293"/>
      <c r="AB32" s="293"/>
      <c r="AC32" s="293"/>
      <c r="AD32" s="293"/>
      <c r="AE32" s="294"/>
      <c r="AF32" s="137">
        <v>70000</v>
      </c>
      <c r="AG32" s="138"/>
      <c r="AH32" s="138"/>
      <c r="AI32" s="303">
        <v>70000</v>
      </c>
      <c r="AJ32" s="303"/>
      <c r="AK32" s="303"/>
      <c r="AL32" s="303"/>
      <c r="AM32" s="303"/>
      <c r="AN32" s="303"/>
      <c r="AO32" s="139"/>
      <c r="AP32" s="139"/>
      <c r="AQ32" s="140"/>
      <c r="AR32" s="28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30"/>
      <c r="BI32" s="135"/>
      <c r="BJ32" s="135"/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</row>
    <row r="33" spans="1:77" s="1" customFormat="1" ht="18.75" customHeight="1" thickBot="1">
      <c r="A33" s="135"/>
      <c r="B33" s="135"/>
      <c r="C33" s="284" t="s">
        <v>53</v>
      </c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6"/>
      <c r="U33" s="287" t="s">
        <v>1</v>
      </c>
      <c r="V33" s="285"/>
      <c r="W33" s="285"/>
      <c r="X33" s="285"/>
      <c r="Y33" s="285"/>
      <c r="Z33" s="285"/>
      <c r="AA33" s="285"/>
      <c r="AB33" s="285"/>
      <c r="AC33" s="285"/>
      <c r="AD33" s="285"/>
      <c r="AE33" s="286"/>
      <c r="AF33" s="31">
        <v>70000</v>
      </c>
      <c r="AG33" s="32"/>
      <c r="AH33" s="32"/>
      <c r="AI33" s="189">
        <v>70000</v>
      </c>
      <c r="AJ33" s="189"/>
      <c r="AK33" s="189"/>
      <c r="AL33" s="189"/>
      <c r="AM33" s="189"/>
      <c r="AN33" s="189"/>
      <c r="AO33" s="32"/>
      <c r="AP33" s="32"/>
      <c r="AQ33" s="33"/>
      <c r="AR33" s="34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6"/>
      <c r="BI33" s="135"/>
      <c r="BJ33" s="135"/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</row>
    <row r="34" spans="1:77" s="1" customFormat="1" ht="10.5" customHeight="1">
      <c r="A34" s="135"/>
      <c r="B34" s="135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</row>
    <row r="35" spans="1:77" s="1" customFormat="1" ht="18.75" customHeight="1">
      <c r="A35" s="135"/>
      <c r="B35" s="135"/>
      <c r="C35" s="280" t="s">
        <v>44</v>
      </c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I35" s="135"/>
      <c r="BJ35" s="135"/>
      <c r="BK35" s="135"/>
      <c r="BL35" s="135"/>
      <c r="BM35" s="135"/>
      <c r="BN35" s="135"/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</row>
    <row r="36" spans="1:77" s="1" customFormat="1" ht="18.75" customHeight="1">
      <c r="A36" s="135"/>
      <c r="B36" s="135"/>
      <c r="C36" s="280" t="s">
        <v>59</v>
      </c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280"/>
      <c r="AB36" s="280"/>
      <c r="AC36" s="280"/>
      <c r="AD36" s="280"/>
      <c r="AE36" s="280"/>
      <c r="AF36" s="280"/>
      <c r="AG36" s="280"/>
      <c r="AH36" s="280"/>
      <c r="AI36" s="280"/>
      <c r="AJ36" s="280"/>
      <c r="AK36" s="280"/>
      <c r="AL36" s="280"/>
      <c r="AM36" s="280"/>
      <c r="AN36" s="280"/>
      <c r="AO36" s="280"/>
      <c r="AP36" s="280"/>
      <c r="AQ36" s="280"/>
      <c r="AR36" s="280"/>
      <c r="AS36" s="280"/>
      <c r="AT36" s="280"/>
      <c r="AU36" s="280"/>
      <c r="AV36" s="280"/>
      <c r="AW36" s="280"/>
      <c r="AX36" s="280"/>
      <c r="AY36" s="280"/>
      <c r="AZ36" s="280"/>
      <c r="BA36" s="280"/>
      <c r="BB36" s="280"/>
      <c r="BC36" s="280"/>
      <c r="BD36" s="280"/>
      <c r="BE36" s="280"/>
      <c r="BF36" s="280"/>
      <c r="BG36" s="280"/>
      <c r="BI36" s="135"/>
      <c r="BJ36" s="135"/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</row>
    <row r="37" spans="1:77" s="1" customFormat="1" ht="18.75" customHeight="1">
      <c r="A37" s="135" t="s">
        <v>101</v>
      </c>
      <c r="B37" s="135"/>
      <c r="C37" s="280" t="s">
        <v>94</v>
      </c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</row>
    <row r="38" spans="1:77" s="1" customFormat="1" ht="18.75" customHeight="1">
      <c r="A38" s="135"/>
      <c r="B38" s="135"/>
      <c r="C38" s="280" t="s">
        <v>95</v>
      </c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</row>
    <row r="39" spans="1:77" s="1" customFormat="1" ht="18.75" customHeight="1">
      <c r="A39" s="135"/>
      <c r="B39" s="135"/>
      <c r="C39" s="280" t="s">
        <v>96</v>
      </c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I39" s="135"/>
      <c r="BJ39" s="135"/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</row>
    <row r="40" spans="1:77" s="1" customFormat="1" ht="18.75" customHeight="1">
      <c r="A40" s="135"/>
      <c r="B40" s="135"/>
      <c r="C40" s="280" t="s">
        <v>97</v>
      </c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80"/>
      <c r="AB40" s="280"/>
      <c r="AC40" s="280"/>
      <c r="AD40" s="280"/>
      <c r="AE40" s="280"/>
      <c r="AF40" s="280"/>
      <c r="AG40" s="280"/>
      <c r="AH40" s="280"/>
      <c r="AI40" s="280"/>
      <c r="AJ40" s="280"/>
      <c r="AK40" s="280"/>
      <c r="AL40" s="280"/>
      <c r="AM40" s="280"/>
      <c r="AN40" s="280"/>
      <c r="AO40" s="280"/>
      <c r="AP40" s="280"/>
      <c r="AQ40" s="280"/>
      <c r="AR40" s="280"/>
      <c r="AS40" s="280"/>
      <c r="AT40" s="280"/>
      <c r="AU40" s="280"/>
      <c r="AV40" s="280"/>
      <c r="AW40" s="280"/>
      <c r="AX40" s="280"/>
      <c r="AY40" s="280"/>
      <c r="AZ40" s="280"/>
      <c r="BA40" s="280"/>
      <c r="BB40" s="280"/>
      <c r="BC40" s="280"/>
      <c r="BD40" s="280"/>
      <c r="BE40" s="280"/>
      <c r="BF40" s="280"/>
      <c r="BG40" s="280"/>
      <c r="BI40" s="135"/>
      <c r="BJ40" s="135"/>
      <c r="BK40" s="135"/>
      <c r="BL40" s="135"/>
      <c r="BM40" s="135"/>
      <c r="BN40" s="135"/>
      <c r="BO40" s="135"/>
      <c r="BP40" s="135"/>
      <c r="BQ40" s="135"/>
      <c r="BR40" s="135"/>
      <c r="BU40" s="135"/>
      <c r="BV40" s="135"/>
      <c r="BW40" s="135"/>
      <c r="BX40" s="135"/>
      <c r="BY40" s="135"/>
    </row>
    <row r="41" spans="1:77" ht="29.25" customHeight="1">
      <c r="A41" s="37"/>
      <c r="B41" s="37"/>
      <c r="C41" s="37"/>
      <c r="D41" s="37"/>
      <c r="E41" s="37"/>
      <c r="F41" s="37"/>
      <c r="G41" s="37"/>
    </row>
    <row r="42" spans="1:77" ht="29.25" customHeight="1">
      <c r="A42" s="37"/>
      <c r="B42" s="281"/>
      <c r="C42" s="281"/>
      <c r="D42" s="281"/>
      <c r="E42" s="281"/>
      <c r="F42" s="281"/>
      <c r="G42" s="281"/>
      <c r="H42" s="282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</row>
    <row r="43" spans="1:77" ht="29.25" customHeight="1"/>
    <row r="44" spans="1:77" ht="29.25" customHeight="1"/>
    <row r="45" spans="1:77" ht="29.25" customHeight="1"/>
    <row r="46" spans="1:77" ht="29.25" customHeight="1"/>
    <row r="47" spans="1:77" ht="29.25" customHeight="1"/>
    <row r="48" spans="1:77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</sheetData>
  <mergeCells count="107">
    <mergeCell ref="C1:BG1"/>
    <mergeCell ref="C2:BG2"/>
    <mergeCell ref="C3:BG3"/>
    <mergeCell ref="C4:BG4"/>
    <mergeCell ref="C6:L7"/>
    <mergeCell ref="M6:T7"/>
    <mergeCell ref="U6:AY6"/>
    <mergeCell ref="AZ6:BG7"/>
    <mergeCell ref="U7:AB7"/>
    <mergeCell ref="AC7:AJ7"/>
    <mergeCell ref="C5:BG5"/>
    <mergeCell ref="AZ8:BG8"/>
    <mergeCell ref="C9:L9"/>
    <mergeCell ref="M9:T9"/>
    <mergeCell ref="U9:AB9"/>
    <mergeCell ref="AC9:AJ9"/>
    <mergeCell ref="AK9:AQ9"/>
    <mergeCell ref="AR9:AY9"/>
    <mergeCell ref="AZ9:BG9"/>
    <mergeCell ref="AK7:AQ7"/>
    <mergeCell ref="AR7:AY7"/>
    <mergeCell ref="C8:L8"/>
    <mergeCell ref="M8:T8"/>
    <mergeCell ref="U8:AB8"/>
    <mergeCell ref="AC8:AJ8"/>
    <mergeCell ref="AK8:AQ8"/>
    <mergeCell ref="AR8:AY8"/>
    <mergeCell ref="AZ10:BG10"/>
    <mergeCell ref="C11:L11"/>
    <mergeCell ref="M11:T11"/>
    <mergeCell ref="U11:AB11"/>
    <mergeCell ref="AC11:AJ11"/>
    <mergeCell ref="AK11:AQ11"/>
    <mergeCell ref="AR11:AY11"/>
    <mergeCell ref="AZ11:BG11"/>
    <mergeCell ref="C10:L10"/>
    <mergeCell ref="M10:T10"/>
    <mergeCell ref="U10:AB10"/>
    <mergeCell ref="AC10:AJ10"/>
    <mergeCell ref="AK10:AQ10"/>
    <mergeCell ref="AR10:AY10"/>
    <mergeCell ref="U32:AE32"/>
    <mergeCell ref="AI32:AN32"/>
    <mergeCell ref="C27:BG27"/>
    <mergeCell ref="C28:BG28"/>
    <mergeCell ref="C29:T30"/>
    <mergeCell ref="U29:AE30"/>
    <mergeCell ref="AF29:AQ30"/>
    <mergeCell ref="AR29:BG30"/>
    <mergeCell ref="C13:BG13"/>
    <mergeCell ref="C14:BG14"/>
    <mergeCell ref="C15:BG15"/>
    <mergeCell ref="C16:BG16"/>
    <mergeCell ref="C18:BG18"/>
    <mergeCell ref="C26:BG26"/>
    <mergeCell ref="AC21:AJ21"/>
    <mergeCell ref="AK21:AQ21"/>
    <mergeCell ref="AR21:AY21"/>
    <mergeCell ref="C22:L22"/>
    <mergeCell ref="AC22:AJ22"/>
    <mergeCell ref="AK22:AQ22"/>
    <mergeCell ref="AR22:AY22"/>
    <mergeCell ref="AZ22:BG22"/>
    <mergeCell ref="AC25:AJ25"/>
    <mergeCell ref="AK25:AQ25"/>
    <mergeCell ref="C17:BG17"/>
    <mergeCell ref="C38:BG38"/>
    <mergeCell ref="C39:BG39"/>
    <mergeCell ref="C40:BG40"/>
    <mergeCell ref="B42:BP42"/>
    <mergeCell ref="C19:BG19"/>
    <mergeCell ref="C20:L21"/>
    <mergeCell ref="M20:T21"/>
    <mergeCell ref="U20:AY20"/>
    <mergeCell ref="AZ20:BG21"/>
    <mergeCell ref="U21:AB21"/>
    <mergeCell ref="C33:T33"/>
    <mergeCell ref="U33:AE33"/>
    <mergeCell ref="AI33:AN33"/>
    <mergeCell ref="C35:BG35"/>
    <mergeCell ref="C36:BG36"/>
    <mergeCell ref="C37:BG37"/>
    <mergeCell ref="C31:T31"/>
    <mergeCell ref="U31:AE31"/>
    <mergeCell ref="AI31:AN31"/>
    <mergeCell ref="C32:T32"/>
    <mergeCell ref="AZ25:BG25"/>
    <mergeCell ref="C25:L25"/>
    <mergeCell ref="M25:T25"/>
    <mergeCell ref="M22:T22"/>
    <mergeCell ref="U22:AB22"/>
    <mergeCell ref="AR25:AY25"/>
    <mergeCell ref="AZ23:BG23"/>
    <mergeCell ref="C24:L24"/>
    <mergeCell ref="M24:T24"/>
    <mergeCell ref="U24:AB24"/>
    <mergeCell ref="AC24:AJ24"/>
    <mergeCell ref="AK24:AQ24"/>
    <mergeCell ref="AR24:AY24"/>
    <mergeCell ref="AZ24:BG24"/>
    <mergeCell ref="C23:L23"/>
    <mergeCell ref="M23:T23"/>
    <mergeCell ref="U23:AB23"/>
    <mergeCell ref="AC23:AJ23"/>
    <mergeCell ref="AK23:AQ23"/>
    <mergeCell ref="AR23:AY23"/>
    <mergeCell ref="U25:AB25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공문</vt:lpstr>
      <vt:lpstr>산출내역서</vt:lpstr>
      <vt:lpstr>산출근거</vt:lpstr>
      <vt:lpstr>공문!Print_Area</vt:lpstr>
      <vt:lpstr>산출근거!Print_Area</vt:lpstr>
      <vt:lpstr>산출내역서!Print_Area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이재규(이재규)</dc:creator>
  <cp:lastModifiedBy>USER</cp:lastModifiedBy>
  <cp:lastPrinted>2023-12-21T23:47:07Z</cp:lastPrinted>
  <dcterms:created xsi:type="dcterms:W3CDTF">2001-11-13T06:44:09Z</dcterms:created>
  <dcterms:modified xsi:type="dcterms:W3CDTF">2024-10-31T23:56:24Z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2001521681</vt:i4>
  </property>
  <property fmtid="{D5CDD505-2E9C-101B-9397-08002B2CF9AE}" pid="3" name="_EmailSubject">
    <vt:lpwstr>견적서.</vt:lpwstr>
  </property>
  <property fmtid="{D5CDD505-2E9C-101B-9397-08002B2CF9AE}" pid="4" name="_AuthorEmail">
    <vt:lpwstr>hyl@iber.or.kr</vt:lpwstr>
  </property>
  <property fmtid="{D5CDD505-2E9C-101B-9397-08002B2CF9AE}" pid="5" name="_AuthorEmailDisplayName">
    <vt:lpwstr>임효영</vt:lpwstr>
  </property>
  <property fmtid="{D5CDD505-2E9C-101B-9397-08002B2CF9AE}" pid="6" name="_ReviewingToolsShownOnce">
    <vt:lpwstr/>
  </property>
</Properties>
</file>