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diskstation\04. 경영지원부\1.(사)건설경제연구원\회계관련\2026년\월말회계보고\"/>
    </mc:Choice>
  </mc:AlternateContent>
  <bookViews>
    <workbookView xWindow="0" yWindow="0" windowWidth="28740" windowHeight="11565" tabRatio="959"/>
  </bookViews>
  <sheets>
    <sheet name="1월" sheetId="126" r:id="rId1"/>
    <sheet name="2월" sheetId="128" r:id="rId2"/>
    <sheet name="3월" sheetId="130" r:id="rId3"/>
    <sheet name="4월" sheetId="132" r:id="rId4"/>
    <sheet name="5월" sheetId="134" r:id="rId5"/>
    <sheet name="6월" sheetId="136" r:id="rId6"/>
    <sheet name="7월" sheetId="138" r:id="rId7"/>
    <sheet name="8월" sheetId="140" r:id="rId8"/>
    <sheet name="9월" sheetId="142" r:id="rId9"/>
    <sheet name="10월" sheetId="144" r:id="rId10"/>
    <sheet name="11월" sheetId="150" r:id="rId11"/>
    <sheet name="12월" sheetId="151" r:id="rId12"/>
    <sheet name="총매출현황" sheetId="78" r:id="rId13"/>
  </sheets>
  <definedNames>
    <definedName name="_xlnm.Print_Area" localSheetId="9">'10월'!$A$1:$G$49</definedName>
    <definedName name="_xlnm.Print_Area" localSheetId="10">'11월'!$A$1:$G$40</definedName>
    <definedName name="_xlnm.Print_Area" localSheetId="11">'12월'!$A$1:$G$40</definedName>
    <definedName name="_xlnm.Print_Area" localSheetId="0">'1월'!$A$1:$G$37</definedName>
    <definedName name="_xlnm.Print_Area" localSheetId="1">'2월'!$A$1:$G$39</definedName>
    <definedName name="_xlnm.Print_Area" localSheetId="2">'3월'!$A$1:$G$53</definedName>
    <definedName name="_xlnm.Print_Area" localSheetId="3">'4월'!$A$1:$G$45</definedName>
    <definedName name="_xlnm.Print_Area" localSheetId="4">'5월'!$A$1:$G$43</definedName>
    <definedName name="_xlnm.Print_Area" localSheetId="5">'6월'!$A$1:$G$44</definedName>
    <definedName name="_xlnm.Print_Area" localSheetId="6">'7월'!$A$1:$G$48</definedName>
    <definedName name="_xlnm.Print_Area" localSheetId="7">'8월'!$A$1:$G$39</definedName>
    <definedName name="_xlnm.Print_Area" localSheetId="8">'9월'!$A$1:$G$59</definedName>
    <definedName name="_xlnm.Print_Area" localSheetId="12">총매출현황!$A$1:$L$51</definedName>
    <definedName name="_xlnm.Print_Titles" localSheetId="9">'10월'!$6:$6</definedName>
    <definedName name="_xlnm.Print_Titles" localSheetId="10">'11월'!$6:$6</definedName>
    <definedName name="_xlnm.Print_Titles" localSheetId="11">'12월'!$6:$6</definedName>
    <definedName name="_xlnm.Print_Titles" localSheetId="0">'1월'!$6:$6</definedName>
    <definedName name="_xlnm.Print_Titles" localSheetId="2">'3월'!$6:$6</definedName>
    <definedName name="_xlnm.Print_Titles" localSheetId="6">'7월'!$6:$6</definedName>
    <definedName name="_xlnm.Print_Titles" localSheetId="8">'9월'!$6:$6</definedName>
  </definedNames>
  <calcPr calcId="162913"/>
</workbook>
</file>

<file path=xl/calcChain.xml><?xml version="1.0" encoding="utf-8"?>
<calcChain xmlns="http://schemas.openxmlformats.org/spreadsheetml/2006/main">
  <c r="H28" i="78" l="1"/>
  <c r="H27" i="78"/>
  <c r="H26" i="78"/>
  <c r="H25" i="78"/>
  <c r="H24" i="78"/>
  <c r="H23" i="78"/>
  <c r="F28" i="78"/>
  <c r="F27" i="78"/>
  <c r="F26" i="78"/>
  <c r="F25" i="78"/>
  <c r="F24" i="78"/>
  <c r="F23" i="78"/>
  <c r="D28" i="78"/>
  <c r="D27" i="78"/>
  <c r="D26" i="78"/>
  <c r="D25" i="78"/>
  <c r="D24" i="78"/>
  <c r="D23" i="78"/>
  <c r="B28" i="78"/>
  <c r="B27" i="78"/>
  <c r="B26" i="78"/>
  <c r="B24" i="78"/>
  <c r="B25" i="78"/>
  <c r="B23" i="78"/>
  <c r="H11" i="78"/>
  <c r="H10" i="78"/>
  <c r="H8" i="78"/>
  <c r="H9" i="78"/>
  <c r="H7" i="78"/>
  <c r="H6" i="78"/>
  <c r="F11" i="78"/>
  <c r="F10" i="78"/>
  <c r="F9" i="78"/>
  <c r="F8" i="78"/>
  <c r="F7" i="78"/>
  <c r="F6" i="78"/>
  <c r="D11" i="78"/>
  <c r="D10" i="78"/>
  <c r="D9" i="78"/>
  <c r="D8" i="78"/>
  <c r="D7" i="78"/>
  <c r="D6" i="78"/>
  <c r="B11" i="78"/>
  <c r="B10" i="78"/>
  <c r="B9" i="78"/>
  <c r="B8" i="78"/>
  <c r="B7" i="78"/>
  <c r="B6" i="78"/>
  <c r="G48" i="130" l="1"/>
  <c r="G32" i="126"/>
  <c r="G34" i="128"/>
  <c r="B4" i="126"/>
  <c r="H32" i="78" l="1"/>
  <c r="F32" i="78"/>
  <c r="D32" i="78"/>
  <c r="B32" i="78"/>
  <c r="H15" i="78"/>
  <c r="F15" i="78"/>
  <c r="D15" i="78"/>
  <c r="B15" i="78"/>
  <c r="G44" i="144"/>
  <c r="G50" i="78" l="1"/>
  <c r="G49" i="78"/>
  <c r="E50" i="78"/>
  <c r="E49" i="78"/>
  <c r="I34" i="78"/>
  <c r="I33" i="78"/>
  <c r="G34" i="78"/>
  <c r="G33" i="78"/>
  <c r="E34" i="78"/>
  <c r="E33" i="78"/>
  <c r="C34" i="78"/>
  <c r="C33" i="78"/>
  <c r="I17" i="78"/>
  <c r="I16" i="78"/>
  <c r="G17" i="78"/>
  <c r="G16" i="78"/>
  <c r="E17" i="78"/>
  <c r="E16" i="78"/>
  <c r="C17" i="78"/>
  <c r="C16" i="78"/>
  <c r="G35" i="151"/>
  <c r="B36" i="151"/>
  <c r="B36" i="150"/>
  <c r="E36" i="150" s="1"/>
  <c r="G35" i="150"/>
  <c r="G48" i="78"/>
  <c r="E32" i="78"/>
  <c r="E36" i="151"/>
  <c r="G34" i="151"/>
  <c r="A32" i="151"/>
  <c r="A30" i="151"/>
  <c r="A28" i="151"/>
  <c r="B18" i="151" s="1"/>
  <c r="A36" i="151" s="1"/>
  <c r="D36" i="151" s="1"/>
  <c r="A21" i="151"/>
  <c r="B17" i="151"/>
  <c r="A15" i="151"/>
  <c r="A13" i="151"/>
  <c r="A11" i="151"/>
  <c r="A8" i="151"/>
  <c r="B5" i="151"/>
  <c r="B4" i="151"/>
  <c r="G34" i="150"/>
  <c r="A32" i="150"/>
  <c r="A30" i="150"/>
  <c r="A28" i="150"/>
  <c r="A21" i="150"/>
  <c r="B18" i="150" s="1"/>
  <c r="A36" i="150" s="1"/>
  <c r="D36" i="150" s="1"/>
  <c r="B17" i="150"/>
  <c r="A15" i="150"/>
  <c r="A13" i="150"/>
  <c r="B5" i="150" s="1"/>
  <c r="A11" i="150"/>
  <c r="A8" i="150"/>
  <c r="B4" i="150"/>
  <c r="G43" i="144"/>
  <c r="B45" i="144" s="1"/>
  <c r="E45" i="144" s="1"/>
  <c r="A41" i="144"/>
  <c r="I32" i="78" s="1"/>
  <c r="A39" i="144"/>
  <c r="A37" i="144"/>
  <c r="C32" i="78" s="1"/>
  <c r="A28" i="144"/>
  <c r="G32" i="78" s="1"/>
  <c r="B24" i="144"/>
  <c r="G39" i="136"/>
  <c r="B25" i="144" l="1"/>
  <c r="A45" i="144" s="1"/>
  <c r="D45" i="144" s="1"/>
  <c r="E48" i="78"/>
  <c r="J48" i="78" s="1"/>
  <c r="G47" i="78"/>
  <c r="H31" i="78"/>
  <c r="F31" i="78"/>
  <c r="D31" i="78"/>
  <c r="B31" i="78"/>
  <c r="H14" i="78"/>
  <c r="F14" i="78"/>
  <c r="D14" i="78"/>
  <c r="B14" i="78"/>
  <c r="G53" i="142" l="1"/>
  <c r="B27" i="142"/>
  <c r="A32" i="142"/>
  <c r="G31" i="78" s="1"/>
  <c r="A44" i="142"/>
  <c r="A47" i="142"/>
  <c r="A50" i="142"/>
  <c r="I31" i="78" s="1"/>
  <c r="G52" i="142"/>
  <c r="B54" i="142" s="1"/>
  <c r="E54" i="142" s="1"/>
  <c r="A20" i="142"/>
  <c r="B28" i="142" l="1"/>
  <c r="A54" i="142" l="1"/>
  <c r="D54" i="142" s="1"/>
  <c r="G46" i="78"/>
  <c r="H30" i="78"/>
  <c r="F30" i="78"/>
  <c r="D30" i="78"/>
  <c r="B30" i="78"/>
  <c r="H13" i="78"/>
  <c r="F13" i="78"/>
  <c r="D13" i="78"/>
  <c r="B13" i="78"/>
  <c r="B18" i="140" l="1"/>
  <c r="A22" i="140"/>
  <c r="A27" i="140"/>
  <c r="A29" i="140"/>
  <c r="A32" i="140"/>
  <c r="G34" i="140"/>
  <c r="B36" i="140" s="1"/>
  <c r="E36" i="140" s="1"/>
  <c r="G35" i="140"/>
  <c r="B19" i="140" l="1"/>
  <c r="A36" i="140" s="1"/>
  <c r="D36" i="140" s="1"/>
  <c r="G43" i="138"/>
  <c r="G45" i="78" l="1"/>
  <c r="H29" i="78"/>
  <c r="F29" i="78"/>
  <c r="D29" i="78"/>
  <c r="B29" i="78"/>
  <c r="H12" i="78"/>
  <c r="F12" i="78"/>
  <c r="D12" i="78"/>
  <c r="B12" i="78"/>
  <c r="B23" i="138" l="1"/>
  <c r="A27" i="138"/>
  <c r="B24" i="138" s="1"/>
  <c r="A44" i="138" s="1"/>
  <c r="D44" i="138" s="1"/>
  <c r="A34" i="138"/>
  <c r="A36" i="138"/>
  <c r="A40" i="138"/>
  <c r="G42" i="138"/>
  <c r="B44" i="138" l="1"/>
  <c r="E44" i="138" s="1"/>
  <c r="A36" i="136"/>
  <c r="G44" i="78" l="1"/>
  <c r="B23" i="136" l="1"/>
  <c r="A27" i="136"/>
  <c r="A30" i="136"/>
  <c r="A32" i="136"/>
  <c r="G38" i="136"/>
  <c r="B40" i="136" s="1"/>
  <c r="E40" i="136" s="1"/>
  <c r="B24" i="136" l="1"/>
  <c r="A40" i="136" s="1"/>
  <c r="D40" i="136" s="1"/>
  <c r="G43" i="78" l="1"/>
  <c r="G38" i="134" l="1"/>
  <c r="B19" i="134" l="1"/>
  <c r="A23" i="134"/>
  <c r="G27" i="78" s="1"/>
  <c r="A29" i="134"/>
  <c r="A31" i="134"/>
  <c r="A35" i="134"/>
  <c r="G37" i="134"/>
  <c r="B39" i="134" s="1"/>
  <c r="E39" i="134" s="1"/>
  <c r="A13" i="134"/>
  <c r="B20" i="134" l="1"/>
  <c r="A39" i="134" s="1"/>
  <c r="D39" i="134" s="1"/>
  <c r="G42" i="78" l="1"/>
  <c r="G39" i="132" l="1"/>
  <c r="B41" i="132" s="1"/>
  <c r="E41" i="132" s="1"/>
  <c r="G40" i="132"/>
  <c r="B20" i="132"/>
  <c r="A24" i="132"/>
  <c r="A33" i="132"/>
  <c r="A35" i="132"/>
  <c r="A37" i="132"/>
  <c r="B21" i="132" l="1"/>
  <c r="A41" i="132" s="1"/>
  <c r="D41" i="132" s="1"/>
  <c r="G41" i="78" l="1"/>
  <c r="B25" i="130" l="1"/>
  <c r="A29" i="130"/>
  <c r="A38" i="130"/>
  <c r="C25" i="78" s="1"/>
  <c r="A41" i="130"/>
  <c r="E25" i="78" s="1"/>
  <c r="A45" i="130"/>
  <c r="G47" i="130"/>
  <c r="B49" i="130" s="1"/>
  <c r="E49" i="130" s="1"/>
  <c r="B26" i="130" l="1"/>
  <c r="A49" i="130" s="1"/>
  <c r="D49" i="130" s="1"/>
  <c r="I25" i="78"/>
  <c r="G33" i="128" l="1"/>
  <c r="B35" i="128" s="1"/>
  <c r="E35" i="128" s="1"/>
  <c r="A15" i="128"/>
  <c r="E7" i="78" s="1"/>
  <c r="B19" i="128"/>
  <c r="A23" i="128"/>
  <c r="A26" i="128"/>
  <c r="A29" i="128"/>
  <c r="A31" i="128"/>
  <c r="B20" i="128" l="1"/>
  <c r="A35" i="128" s="1"/>
  <c r="D35" i="128" s="1"/>
  <c r="B16" i="126"/>
  <c r="A22" i="126"/>
  <c r="B17" i="126" s="1"/>
  <c r="A33" i="126" s="1"/>
  <c r="D33" i="126" s="1"/>
  <c r="A25" i="126"/>
  <c r="A27" i="126"/>
  <c r="A29" i="126"/>
  <c r="G31" i="126"/>
  <c r="B33" i="126" s="1"/>
  <c r="E33" i="126"/>
  <c r="G39" i="78" l="1"/>
  <c r="E39" i="78"/>
  <c r="B39" i="78"/>
  <c r="A12" i="126" l="1"/>
  <c r="A22" i="144" l="1"/>
  <c r="I15" i="78" s="1"/>
  <c r="A20" i="144"/>
  <c r="E15" i="78" s="1"/>
  <c r="A18" i="144"/>
  <c r="C15" i="78" s="1"/>
  <c r="A9" i="144"/>
  <c r="G15" i="78" s="1"/>
  <c r="B4" i="144"/>
  <c r="B5" i="144" l="1"/>
  <c r="E31" i="78" l="1"/>
  <c r="C31" i="78"/>
  <c r="A25" i="142"/>
  <c r="I14" i="78" s="1"/>
  <c r="A22" i="142"/>
  <c r="E14" i="78" s="1"/>
  <c r="C14" i="78"/>
  <c r="A9" i="142"/>
  <c r="G14" i="78" s="1"/>
  <c r="B4" i="142"/>
  <c r="E47" i="78" l="1"/>
  <c r="B5" i="142"/>
  <c r="I30" i="78" l="1"/>
  <c r="E30" i="78"/>
  <c r="C30" i="78"/>
  <c r="G30" i="78"/>
  <c r="A16" i="140"/>
  <c r="I13" i="78" s="1"/>
  <c r="A13" i="140"/>
  <c r="E13" i="78" s="1"/>
  <c r="A11" i="140"/>
  <c r="C13" i="78" s="1"/>
  <c r="A8" i="140"/>
  <c r="G13" i="78" s="1"/>
  <c r="B4" i="140"/>
  <c r="E46" i="78" l="1"/>
  <c r="B5" i="140"/>
  <c r="E45" i="78" l="1"/>
  <c r="I29" i="78"/>
  <c r="E29" i="78"/>
  <c r="C29" i="78"/>
  <c r="G29" i="78"/>
  <c r="A21" i="138"/>
  <c r="I12" i="78" s="1"/>
  <c r="A18" i="138"/>
  <c r="E12" i="78" s="1"/>
  <c r="A16" i="138"/>
  <c r="C12" i="78" s="1"/>
  <c r="A8" i="138"/>
  <c r="G12" i="78" s="1"/>
  <c r="B4" i="138"/>
  <c r="B5" i="138" l="1"/>
  <c r="I28" i="78"/>
  <c r="A21" i="136"/>
  <c r="I11" i="78" s="1"/>
  <c r="E28" i="78" l="1"/>
  <c r="C28" i="78"/>
  <c r="G28" i="78"/>
  <c r="A18" i="136"/>
  <c r="E11" i="78" s="1"/>
  <c r="A16" i="136"/>
  <c r="C11" i="78" s="1"/>
  <c r="A8" i="136"/>
  <c r="G11" i="78" s="1"/>
  <c r="B4" i="136"/>
  <c r="E44" i="78" l="1"/>
  <c r="B5" i="136"/>
  <c r="C27" i="78" l="1"/>
  <c r="E43" i="78" l="1"/>
  <c r="I27" i="78"/>
  <c r="E27" i="78"/>
  <c r="A17" i="134"/>
  <c r="I10" i="78" s="1"/>
  <c r="E10" i="78"/>
  <c r="A11" i="134"/>
  <c r="C10" i="78" s="1"/>
  <c r="A8" i="134"/>
  <c r="G10" i="78" s="1"/>
  <c r="B4" i="134"/>
  <c r="B5" i="134" l="1"/>
  <c r="A18" i="132"/>
  <c r="E42" i="78" l="1"/>
  <c r="I26" i="78" l="1"/>
  <c r="E26" i="78"/>
  <c r="C26" i="78"/>
  <c r="G26" i="78"/>
  <c r="I9" i="78"/>
  <c r="A16" i="132"/>
  <c r="E9" i="78" s="1"/>
  <c r="A14" i="132"/>
  <c r="C9" i="78" s="1"/>
  <c r="A9" i="132"/>
  <c r="G9" i="78" s="1"/>
  <c r="B4" i="132"/>
  <c r="B5" i="132" l="1"/>
  <c r="E41" i="78"/>
  <c r="A21" i="130"/>
  <c r="E8" i="78" s="1"/>
  <c r="A23" i="130"/>
  <c r="I8" i="78" s="1"/>
  <c r="A18" i="130" l="1"/>
  <c r="C8" i="78" s="1"/>
  <c r="A8" i="130"/>
  <c r="G8" i="78" s="1"/>
  <c r="B4" i="130"/>
  <c r="B5" i="130" l="1"/>
  <c r="G40" i="78" l="1"/>
  <c r="E40" i="78"/>
  <c r="I24" i="78" l="1"/>
  <c r="E24" i="78"/>
  <c r="C24" i="78"/>
  <c r="G24" i="78"/>
  <c r="A17" i="128"/>
  <c r="I7" i="78" s="1"/>
  <c r="A13" i="128"/>
  <c r="C7" i="78" s="1"/>
  <c r="A8" i="128"/>
  <c r="G7" i="78" s="1"/>
  <c r="B4" i="128"/>
  <c r="B5" i="128" l="1"/>
  <c r="I23" i="78" l="1"/>
  <c r="E23" i="78" l="1"/>
  <c r="A14" i="126" l="1"/>
  <c r="I6" i="78" s="1"/>
  <c r="E6" i="78" l="1"/>
  <c r="A10" i="126"/>
  <c r="C6" i="78" s="1"/>
  <c r="A8" i="126"/>
  <c r="G23" i="78"/>
  <c r="G6" i="78" l="1"/>
  <c r="B5" i="126"/>
  <c r="J9" i="78"/>
  <c r="J10" i="78"/>
  <c r="J11" i="78"/>
  <c r="J12" i="78"/>
  <c r="J13" i="78"/>
  <c r="J26" i="78"/>
  <c r="J27" i="78"/>
  <c r="J28" i="78"/>
  <c r="J29" i="78"/>
  <c r="J30" i="78"/>
  <c r="J42" i="78"/>
  <c r="J43" i="78"/>
  <c r="J44" i="78"/>
  <c r="K9" i="78" l="1"/>
  <c r="K11" i="78"/>
  <c r="K13" i="78"/>
  <c r="K12" i="78"/>
  <c r="K10" i="78"/>
  <c r="K26" i="78"/>
  <c r="B42" i="78" s="1"/>
  <c r="K28" i="78"/>
  <c r="K29" i="78"/>
  <c r="K30" i="78"/>
  <c r="J46" i="78"/>
  <c r="K27" i="78"/>
  <c r="B43" i="78" s="1"/>
  <c r="J45" i="78"/>
  <c r="B46" i="78" l="1"/>
  <c r="B45" i="78"/>
  <c r="B44" i="78"/>
  <c r="H42" i="78"/>
  <c r="J14" i="78"/>
  <c r="K14" i="78"/>
  <c r="J15" i="78"/>
  <c r="K15" i="78"/>
  <c r="J16" i="78"/>
  <c r="K16" i="78"/>
  <c r="J17" i="78"/>
  <c r="K17" i="78"/>
  <c r="J31" i="78"/>
  <c r="K31" i="78"/>
  <c r="B47" i="78" s="1"/>
  <c r="J32" i="78"/>
  <c r="K32" i="78"/>
  <c r="B48" i="78" s="1"/>
  <c r="J33" i="78"/>
  <c r="K33" i="78"/>
  <c r="B49" i="78" s="1"/>
  <c r="H49" i="78" s="1"/>
  <c r="J34" i="78"/>
  <c r="K34" i="78"/>
  <c r="B50" i="78" s="1"/>
  <c r="H50" i="78" s="1"/>
  <c r="J47" i="78"/>
  <c r="J49" i="78"/>
  <c r="J50" i="78"/>
  <c r="H47" i="78" l="1"/>
  <c r="H46" i="78"/>
  <c r="H45" i="78"/>
  <c r="H44" i="78"/>
  <c r="H48" i="78"/>
  <c r="J8" i="78" l="1"/>
  <c r="J25" i="78"/>
  <c r="J41" i="78"/>
  <c r="J7" i="78"/>
  <c r="J24" i="78"/>
  <c r="J40" i="78"/>
  <c r="K25" i="78" l="1"/>
  <c r="B41" i="78" s="1"/>
  <c r="K7" i="78"/>
  <c r="K24" i="78"/>
  <c r="H41" i="78" l="1"/>
  <c r="B40" i="78"/>
  <c r="H40" i="78" l="1"/>
  <c r="K8" i="78" l="1"/>
  <c r="C23" i="78" l="1"/>
  <c r="H35" i="78" l="1"/>
  <c r="F35" i="78"/>
  <c r="D35" i="78"/>
  <c r="B35" i="78"/>
  <c r="E35" i="78"/>
  <c r="C35" i="78" l="1"/>
  <c r="I35" i="78" l="1"/>
  <c r="G35" i="78"/>
  <c r="E51" i="78" l="1"/>
  <c r="G51" i="78"/>
  <c r="K23" i="78"/>
  <c r="J23" i="78"/>
  <c r="K6" i="78"/>
  <c r="J6" i="78"/>
  <c r="G18" i="78"/>
  <c r="G36" i="78" s="1"/>
  <c r="F18" i="78"/>
  <c r="I18" i="78"/>
  <c r="I36" i="78" s="1"/>
  <c r="H18" i="78"/>
  <c r="J35" i="78" l="1"/>
  <c r="K35" i="78"/>
  <c r="B51" i="78" s="1"/>
  <c r="H39" i="78"/>
  <c r="J39" i="78"/>
  <c r="J51" i="78" s="1"/>
  <c r="H43" i="78" l="1"/>
  <c r="H51" i="78" s="1"/>
  <c r="E18" i="78"/>
  <c r="E36" i="78" s="1"/>
  <c r="D18" i="78"/>
  <c r="B18" i="78"/>
  <c r="J18" i="78" l="1"/>
  <c r="C18" i="78" l="1"/>
  <c r="C36" i="78" s="1"/>
  <c r="K18" i="78" l="1"/>
  <c r="K36" i="78" l="1"/>
</calcChain>
</file>

<file path=xl/sharedStrings.xml><?xml version="1.0" encoding="utf-8"?>
<sst xmlns="http://schemas.openxmlformats.org/spreadsheetml/2006/main" count="591" uniqueCount="152">
  <si>
    <t>합계</t>
    <phoneticPr fontId="1" type="noConversion"/>
  </si>
  <si>
    <t>비고</t>
    <phoneticPr fontId="1" type="noConversion"/>
  </si>
  <si>
    <t>사업부</t>
    <phoneticPr fontId="1" type="noConversion"/>
  </si>
  <si>
    <t>용역종류</t>
    <phoneticPr fontId="1" type="noConversion"/>
  </si>
  <si>
    <t>건수</t>
    <phoneticPr fontId="1" type="noConversion"/>
  </si>
  <si>
    <t>계약금액</t>
    <phoneticPr fontId="1" type="noConversion"/>
  </si>
  <si>
    <t>업체명</t>
    <phoneticPr fontId="1" type="noConversion"/>
  </si>
  <si>
    <t>용역명</t>
    <phoneticPr fontId="1" type="noConversion"/>
  </si>
  <si>
    <t>경비</t>
    <phoneticPr fontId="1" type="noConversion"/>
  </si>
  <si>
    <t>1)계약현황</t>
    <phoneticPr fontId="1" type="noConversion"/>
  </si>
  <si>
    <t>계약</t>
    <phoneticPr fontId="1" type="noConversion"/>
  </si>
  <si>
    <t>1월</t>
    <phoneticPr fontId="1" type="noConversion"/>
  </si>
  <si>
    <t>월별</t>
    <phoneticPr fontId="1" type="noConversion"/>
  </si>
  <si>
    <t>총매출금액</t>
    <phoneticPr fontId="1" type="noConversion"/>
  </si>
  <si>
    <t>수금액</t>
    <phoneticPr fontId="1" type="noConversion"/>
  </si>
  <si>
    <t>1월</t>
    <phoneticPr fontId="1" type="noConversion"/>
  </si>
  <si>
    <t>건설사업부</t>
    <phoneticPr fontId="1" type="noConversion"/>
  </si>
  <si>
    <t>학술사업부</t>
    <phoneticPr fontId="1" type="noConversion"/>
  </si>
  <si>
    <t>건수</t>
    <phoneticPr fontId="1" type="noConversion"/>
  </si>
  <si>
    <t>금액</t>
    <phoneticPr fontId="1" type="noConversion"/>
  </si>
  <si>
    <t>건수</t>
    <phoneticPr fontId="1" type="noConversion"/>
  </si>
  <si>
    <t>금액</t>
    <phoneticPr fontId="1" type="noConversion"/>
  </si>
  <si>
    <t>합계</t>
    <phoneticPr fontId="1" type="noConversion"/>
  </si>
  <si>
    <t>총금액</t>
    <phoneticPr fontId="1" type="noConversion"/>
  </si>
  <si>
    <t>총건수</t>
    <phoneticPr fontId="1" type="noConversion"/>
  </si>
  <si>
    <t>총건수</t>
    <phoneticPr fontId="1" type="noConversion"/>
  </si>
  <si>
    <t>1. 1월 계약현황 및 매출현황</t>
    <phoneticPr fontId="1" type="noConversion"/>
  </si>
  <si>
    <t>외주용역</t>
    <phoneticPr fontId="1" type="noConversion"/>
  </si>
  <si>
    <t>개발사업부</t>
    <phoneticPr fontId="1" type="noConversion"/>
  </si>
  <si>
    <t>매출</t>
    <phoneticPr fontId="1" type="noConversion"/>
  </si>
  <si>
    <t>경비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</si>
  <si>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</si>
  <si>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</si>
  <si>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</si>
  <si>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4월</t>
    <phoneticPr fontId="1" type="noConversion"/>
  </si>
  <si>
    <t>4월</t>
    <phoneticPr fontId="1" type="noConversion"/>
  </si>
  <si>
    <t>5월</t>
    <phoneticPr fontId="1" type="noConversion"/>
  </si>
  <si>
    <t>5월</t>
    <phoneticPr fontId="1" type="noConversion"/>
  </si>
  <si>
    <t>6월</t>
    <phoneticPr fontId="1" type="noConversion"/>
  </si>
  <si>
    <t>6월</t>
    <phoneticPr fontId="1" type="noConversion"/>
  </si>
  <si>
    <t>매출금액대비 순이익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</si>
  <si>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</si>
  <si>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</si>
  <si>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</si>
  <si>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</si>
  <si>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</si>
  <si>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</si>
  <si>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11월</t>
    <phoneticPr fontId="1" type="noConversion"/>
  </si>
  <si>
    <t>12월</t>
    <phoneticPr fontId="1" type="noConversion"/>
  </si>
  <si>
    <t>9월</t>
    <phoneticPr fontId="1" type="noConversion"/>
  </si>
  <si>
    <t>10월</t>
    <phoneticPr fontId="1" type="noConversion"/>
  </si>
  <si>
    <t>외주용역</t>
    <phoneticPr fontId="1" type="noConversion"/>
  </si>
  <si>
    <t>매출/계약비율(%)</t>
    <phoneticPr fontId="1" type="noConversion"/>
  </si>
  <si>
    <t>개발사업부</t>
    <phoneticPr fontId="1" type="noConversion"/>
  </si>
  <si>
    <t>건설사업부</t>
    <phoneticPr fontId="1" type="noConversion"/>
  </si>
  <si>
    <t>학술사업부</t>
    <phoneticPr fontId="1" type="noConversion"/>
  </si>
  <si>
    <t>외주용역</t>
    <phoneticPr fontId="1" type="noConversion"/>
  </si>
  <si>
    <t>수금액대비 순이익</t>
    <phoneticPr fontId="1" type="noConversion"/>
  </si>
  <si>
    <t>(사)건설경제연구원_경영관리실</t>
    <phoneticPr fontId="1" type="noConversion"/>
  </si>
  <si>
    <r>
      <rPr>
        <b/>
        <sz val="10"/>
        <color theme="1"/>
        <rFont val="맑은 고딕"/>
        <family val="3"/>
        <charset val="129"/>
      </rPr>
      <t>①</t>
    </r>
    <r>
      <rPr>
        <b/>
        <sz val="10"/>
        <color theme="1"/>
        <rFont val="함초롬바탕"/>
        <family val="1"/>
        <charset val="129"/>
      </rPr>
      <t>총계약건수:</t>
    </r>
    <phoneticPr fontId="1" type="noConversion"/>
  </si>
  <si>
    <r>
      <rPr>
        <b/>
        <sz val="10"/>
        <color theme="1"/>
        <rFont val="맑은 고딕"/>
        <family val="3"/>
        <charset val="129"/>
      </rPr>
      <t>②</t>
    </r>
    <r>
      <rPr>
        <b/>
        <sz val="10"/>
        <color theme="1"/>
        <rFont val="함초롬바탕"/>
        <family val="1"/>
        <charset val="129"/>
      </rPr>
      <t>총계약금액:</t>
    </r>
    <phoneticPr fontId="1" type="noConversion"/>
  </si>
  <si>
    <t>월말 회계 보고서</t>
    <phoneticPr fontId="1" type="noConversion"/>
  </si>
  <si>
    <r>
      <rPr>
        <b/>
        <sz val="10"/>
        <color theme="1"/>
        <rFont val="맑은 고딕"/>
        <family val="3"/>
        <charset val="129"/>
      </rPr>
      <t>①</t>
    </r>
    <r>
      <rPr>
        <b/>
        <sz val="10"/>
        <color theme="1"/>
        <rFont val="함초롬바탕"/>
        <family val="1"/>
        <charset val="129"/>
      </rPr>
      <t>총매출건수:</t>
    </r>
    <phoneticPr fontId="1" type="noConversion"/>
  </si>
  <si>
    <r>
      <rPr>
        <b/>
        <sz val="10"/>
        <color theme="1"/>
        <rFont val="맑은 고딕"/>
        <family val="3"/>
        <charset val="129"/>
      </rPr>
      <t>②</t>
    </r>
    <r>
      <rPr>
        <b/>
        <sz val="10"/>
        <color theme="1"/>
        <rFont val="함초롬바탕"/>
        <family val="1"/>
        <charset val="129"/>
      </rPr>
      <t>총매출금액:</t>
    </r>
    <phoneticPr fontId="1" type="noConversion"/>
  </si>
  <si>
    <t>매출금액</t>
    <phoneticPr fontId="1" type="noConversion"/>
  </si>
  <si>
    <t>2)매출현황</t>
    <phoneticPr fontId="1" type="noConversion"/>
  </si>
  <si>
    <t>2. 1월 순이익현황</t>
    <phoneticPr fontId="1" type="noConversion"/>
  </si>
  <si>
    <t>1월 수금액</t>
    <phoneticPr fontId="1" type="noConversion"/>
  </si>
  <si>
    <t>기타</t>
    <phoneticPr fontId="1" type="noConversion"/>
  </si>
  <si>
    <t>1)계약현황</t>
    <phoneticPr fontId="1" type="noConversion"/>
  </si>
  <si>
    <t>2)매출현황</t>
    <phoneticPr fontId="1" type="noConversion"/>
  </si>
  <si>
    <t>비고</t>
    <phoneticPr fontId="1" type="noConversion"/>
  </si>
  <si>
    <t>월</t>
    <phoneticPr fontId="1" type="noConversion"/>
  </si>
  <si>
    <t>월</t>
    <phoneticPr fontId="1" type="noConversion"/>
  </si>
  <si>
    <t>비고</t>
    <phoneticPr fontId="1" type="noConversion"/>
  </si>
  <si>
    <t>개발사업부</t>
    <phoneticPr fontId="1" type="noConversion"/>
  </si>
  <si>
    <t>학술사업부</t>
    <phoneticPr fontId="1" type="noConversion"/>
  </si>
  <si>
    <t>개발사업부</t>
    <phoneticPr fontId="1" type="noConversion"/>
  </si>
  <si>
    <t>매출대비 
순이익</t>
    <phoneticPr fontId="1" type="noConversion"/>
  </si>
  <si>
    <t>수금대비 
순이익</t>
    <phoneticPr fontId="1" type="noConversion"/>
  </si>
  <si>
    <t>1. 2월 계약현황 및 매출현황</t>
    <phoneticPr fontId="1" type="noConversion"/>
  </si>
  <si>
    <t>2. 2월 순이익현황</t>
    <phoneticPr fontId="1" type="noConversion"/>
  </si>
  <si>
    <t>2월 수금액</t>
    <phoneticPr fontId="1" type="noConversion"/>
  </si>
  <si>
    <t>개발사업부</t>
    <phoneticPr fontId="1" type="noConversion"/>
  </si>
  <si>
    <t>1. 3월 계약현황 및 매출현황</t>
    <phoneticPr fontId="1" type="noConversion"/>
  </si>
  <si>
    <t>2. 3월 순이익현황</t>
    <phoneticPr fontId="1" type="noConversion"/>
  </si>
  <si>
    <t>3월 수금액</t>
    <phoneticPr fontId="1" type="noConversion"/>
  </si>
  <si>
    <t>건설사업부</t>
    <phoneticPr fontId="1" type="noConversion"/>
  </si>
  <si>
    <t>1. 4월 계약현황 및 매출현황</t>
    <phoneticPr fontId="1" type="noConversion"/>
  </si>
  <si>
    <t>2. 4월 순이익현황</t>
    <phoneticPr fontId="1" type="noConversion"/>
  </si>
  <si>
    <t>4월 수금액</t>
    <phoneticPr fontId="1" type="noConversion"/>
  </si>
  <si>
    <t>총수금액</t>
    <phoneticPr fontId="1" type="noConversion"/>
  </si>
  <si>
    <t>건설사업부</t>
    <phoneticPr fontId="1" type="noConversion"/>
  </si>
  <si>
    <t>외주용역</t>
    <phoneticPr fontId="1" type="noConversion"/>
  </si>
  <si>
    <t>1. 5월 계약현황 및 매출현황</t>
    <phoneticPr fontId="1" type="noConversion"/>
  </si>
  <si>
    <t>2. 5월 순이익현황</t>
    <phoneticPr fontId="1" type="noConversion"/>
  </si>
  <si>
    <t>5월 수금액</t>
    <phoneticPr fontId="1" type="noConversion"/>
  </si>
  <si>
    <t>건설사업부</t>
    <phoneticPr fontId="1" type="noConversion"/>
  </si>
  <si>
    <t>외주용역</t>
    <phoneticPr fontId="1" type="noConversion"/>
  </si>
  <si>
    <t>1. 6월 계약현황 및 매출현황</t>
    <phoneticPr fontId="1" type="noConversion"/>
  </si>
  <si>
    <t>6월 수금액</t>
    <phoneticPr fontId="1" type="noConversion"/>
  </si>
  <si>
    <t>경영관리실_예금결산이자</t>
    <phoneticPr fontId="1" type="noConversion"/>
  </si>
  <si>
    <t>1. 7월 계약현황 및 매출현황</t>
    <phoneticPr fontId="1" type="noConversion"/>
  </si>
  <si>
    <t>2. 7월 순이익현황</t>
    <phoneticPr fontId="1" type="noConversion"/>
  </si>
  <si>
    <t>2. 6월 순이익현황</t>
    <phoneticPr fontId="1" type="noConversion"/>
  </si>
  <si>
    <t>7월 수금액</t>
    <phoneticPr fontId="1" type="noConversion"/>
  </si>
  <si>
    <t>1. 8월 계약현황 및 매출현황</t>
    <phoneticPr fontId="1" type="noConversion"/>
  </si>
  <si>
    <t>2. 8월 순이익현황</t>
    <phoneticPr fontId="1" type="noConversion"/>
  </si>
  <si>
    <t>8월 수금액</t>
    <phoneticPr fontId="1" type="noConversion"/>
  </si>
  <si>
    <t>1. 9월 계약현황 및 매출현황</t>
    <phoneticPr fontId="1" type="noConversion"/>
  </si>
  <si>
    <t>2. 9월 순이익현황</t>
    <phoneticPr fontId="1" type="noConversion"/>
  </si>
  <si>
    <t>9월 수금액</t>
    <phoneticPr fontId="1" type="noConversion"/>
  </si>
  <si>
    <t>개발사업부</t>
    <phoneticPr fontId="1" type="noConversion"/>
  </si>
  <si>
    <t>외주용역</t>
  </si>
  <si>
    <t>기타</t>
    <phoneticPr fontId="1" type="noConversion"/>
  </si>
  <si>
    <t>개발사업부</t>
    <phoneticPr fontId="1" type="noConversion"/>
  </si>
  <si>
    <t>외주용역</t>
    <phoneticPr fontId="1" type="noConversion"/>
  </si>
  <si>
    <t>기타</t>
    <phoneticPr fontId="1" type="noConversion"/>
  </si>
  <si>
    <t>총수금액</t>
    <phoneticPr fontId="1" type="noConversion"/>
  </si>
  <si>
    <t>건설사업부</t>
    <phoneticPr fontId="1" type="noConversion"/>
  </si>
  <si>
    <t>외주용역</t>
    <phoneticPr fontId="1" type="noConversion"/>
  </si>
  <si>
    <t>기타</t>
    <phoneticPr fontId="1" type="noConversion"/>
  </si>
  <si>
    <t>총수금액</t>
    <phoneticPr fontId="1" type="noConversion"/>
  </si>
  <si>
    <t>개발사업부</t>
    <phoneticPr fontId="1" type="noConversion"/>
  </si>
  <si>
    <t>건설사업부</t>
    <phoneticPr fontId="1" type="noConversion"/>
  </si>
  <si>
    <t>외주용역</t>
    <phoneticPr fontId="1" type="noConversion"/>
  </si>
  <si>
    <t>용역명</t>
    <phoneticPr fontId="1" type="noConversion"/>
  </si>
  <si>
    <t xml:space="preserve">                (사)건설경제연구원_경영관리실</t>
    <phoneticPr fontId="1" type="noConversion"/>
  </si>
  <si>
    <r>
      <rPr>
        <b/>
        <sz val="20"/>
        <color theme="1"/>
        <rFont val="함초롬바탕"/>
        <family val="1"/>
        <charset val="129"/>
      </rPr>
      <t xml:space="preserve">       </t>
    </r>
    <r>
      <rPr>
        <b/>
        <u/>
        <sz val="20"/>
        <color theme="1"/>
        <rFont val="함초롬바탕"/>
        <family val="1"/>
        <charset val="129"/>
      </rPr>
      <t>월말 회계 보고서</t>
    </r>
    <phoneticPr fontId="1" type="noConversion"/>
  </si>
  <si>
    <t>외주용역</t>
    <phoneticPr fontId="1" type="noConversion"/>
  </si>
  <si>
    <t>사업부서 수금액
(기타 제외)</t>
    <phoneticPr fontId="1" type="noConversion"/>
  </si>
  <si>
    <t>개발사업부</t>
    <phoneticPr fontId="1" type="noConversion"/>
  </si>
  <si>
    <t>용역명</t>
    <phoneticPr fontId="1" type="noConversion"/>
  </si>
  <si>
    <t>사업부서 수금액</t>
    <phoneticPr fontId="1" type="noConversion"/>
  </si>
  <si>
    <t>외주용역</t>
    <phoneticPr fontId="1" type="noConversion"/>
  </si>
  <si>
    <t>경영관리실, 기타</t>
    <phoneticPr fontId="1" type="noConversion"/>
  </si>
  <si>
    <t>사업부서 수금액</t>
    <phoneticPr fontId="1" type="noConversion"/>
  </si>
  <si>
    <t>경영관리실</t>
    <phoneticPr fontId="1" type="noConversion"/>
  </si>
  <si>
    <t>1. 10월 계약현황 및 매출현황</t>
    <phoneticPr fontId="1" type="noConversion"/>
  </si>
  <si>
    <t>1. 12월 계약현황 및 매출현황</t>
    <phoneticPr fontId="1" type="noConversion"/>
  </si>
  <si>
    <t>1. 11월 계약현황 및 매출현황</t>
    <phoneticPr fontId="1" type="noConversion"/>
  </si>
  <si>
    <t>사업부서 수금액</t>
    <phoneticPr fontId="1" type="noConversion"/>
  </si>
  <si>
    <t>10월 수금액</t>
    <phoneticPr fontId="1" type="noConversion"/>
  </si>
  <si>
    <t>2. 10월 순이익현황</t>
    <phoneticPr fontId="1" type="noConversion"/>
  </si>
  <si>
    <t>2. 11월 순이익현황</t>
    <phoneticPr fontId="1" type="noConversion"/>
  </si>
  <si>
    <t>11월 수금액</t>
    <phoneticPr fontId="1" type="noConversion"/>
  </si>
  <si>
    <t>2. 12월 순이익현황</t>
    <phoneticPr fontId="1" type="noConversion"/>
  </si>
  <si>
    <t>12월 수금액</t>
    <phoneticPr fontId="1" type="noConversion"/>
  </si>
  <si>
    <t>경영관리실</t>
    <phoneticPr fontId="1" type="noConversion"/>
  </si>
  <si>
    <t>월말 회계 보고서</t>
    <phoneticPr fontId="1" type="noConversion"/>
  </si>
  <si>
    <t>3. 2026년 계약현황, 매출현황</t>
    <phoneticPr fontId="1" type="noConversion"/>
  </si>
  <si>
    <t>4. 2026년 총 순이익현황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</si>
</sst>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-&quot;₩&quot;* #,##0_-;\-&quot;₩&quot;* #,##0_-;_-&quot;₩&quot;* &quot;-&quot;_-;_-@_-"/>
    <numFmt numFmtId="41" formatCode="_-* #,##0_-;\-* #,##0_-;_-* &quot;-&quot;_-;_-@_-"/>
    <numFmt numFmtId="176" formatCode="&quot;₩&quot;#,##0_);[Red]\(&quot;₩&quot;#,##0\)"/>
    <numFmt numFmtId="177" formatCode="0_);[Red]\(0\)"/>
    <numFmt numFmtId="178" formatCode="_-* #,##0.00_-;\-* #,##0.00_-;_-* &quot;-&quot;_-;_-@_-"/>
    <numFmt numFmtId="179" formatCode="_-* #,##0.0000_-;\-* #,##0.0000_-;_-* &quot;-&quot;_-;_-@_-"/>
    <numFmt numFmtId="180" formatCode="_-* #,##0.00000_-;\-* #,##0.00000_-;_-* &quot;-&quot;_-;_-@_-"/>
  </numFmts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10"/>
      <name val="굴림"/>
      <family val="3"/>
      <charset val="129"/>
    </font>
    <font>
      <sz val="11"/>
      <color theme="1"/>
      <name val="함초롬바탕"/>
      <family val="1"/>
      <charset val="129"/>
    </font>
    <font>
      <b/>
      <sz val="18"/>
      <color theme="1"/>
      <name val="함초롬바탕"/>
      <family val="1"/>
      <charset val="129"/>
    </font>
    <font>
      <b/>
      <sz val="10"/>
      <color theme="1"/>
      <name val="함초롬바탕"/>
      <family val="1"/>
      <charset val="129"/>
    </font>
    <font>
      <sz val="10"/>
      <color theme="1"/>
      <name val="함초롬바탕"/>
      <family val="1"/>
      <charset val="129"/>
    </font>
    <font>
      <b/>
      <sz val="10"/>
      <color theme="1"/>
      <name val="맑은 고딕"/>
      <family val="3"/>
      <charset val="129"/>
    </font>
    <font>
      <b/>
      <u/>
      <sz val="18"/>
      <color theme="1"/>
      <name val="함초롬바탕"/>
      <family val="1"/>
      <charset val="129"/>
    </font>
    <font>
      <b/>
      <u/>
      <sz val="20"/>
      <color theme="1"/>
      <name val="함초롬바탕"/>
      <family val="1"/>
      <charset val="129"/>
    </font>
    <font>
      <sz val="10"/>
      <name val="함초롬바탕"/>
      <family val="1"/>
      <charset val="129"/>
    </font>
    <font>
      <sz val="9"/>
      <color theme="1"/>
      <name val="함초롬바탕"/>
      <family val="1"/>
      <charset val="129"/>
    </font>
    <font>
      <b/>
      <sz val="9"/>
      <color theme="1"/>
      <name val="함초롬바탕"/>
      <family val="1"/>
      <charset val="129"/>
    </font>
    <font>
      <b/>
      <sz val="20"/>
      <color theme="1"/>
      <name val="함초롬바탕"/>
      <family val="1"/>
      <charset val="129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auto="1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  <border>
      <left style="medium">
        <color indexed="64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/>
    <xf numFmtId="0" fontId="4" fillId="0" borderId="0">
      <alignment vertical="center"/>
    </xf>
  </cellStyleXfs>
  <cellXfs count="319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41" fontId="5" fillId="0" borderId="0" xfId="1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42" fontId="7" fillId="0" borderId="0" xfId="1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41" fontId="7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41" fontId="8" fillId="0" borderId="21" xfId="1" applyFont="1" applyBorder="1" applyAlignment="1">
      <alignment vertical="center"/>
    </xf>
    <xf numFmtId="41" fontId="8" fillId="0" borderId="22" xfId="1" applyFont="1" applyBorder="1" applyAlignment="1">
      <alignment vertical="center"/>
    </xf>
    <xf numFmtId="41" fontId="8" fillId="0" borderId="23" xfId="1" applyFont="1" applyBorder="1" applyAlignment="1">
      <alignment vertical="center"/>
    </xf>
    <xf numFmtId="41" fontId="8" fillId="0" borderId="13" xfId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1" fontId="8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1" fontId="7" fillId="0" borderId="0" xfId="1" applyFont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41" fontId="8" fillId="0" borderId="0" xfId="1" applyFont="1" applyFill="1" applyAlignment="1">
      <alignment horizontal="center" vertical="center"/>
    </xf>
    <xf numFmtId="41" fontId="8" fillId="0" borderId="0" xfId="1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8" fillId="0" borderId="22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176" fontId="8" fillId="0" borderId="23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41" fontId="8" fillId="0" borderId="15" xfId="1" applyFont="1" applyBorder="1" applyAlignment="1">
      <alignment horizontal="center" vertical="center"/>
    </xf>
    <xf numFmtId="41" fontId="8" fillId="0" borderId="12" xfId="1" applyFont="1" applyBorder="1" applyAlignment="1">
      <alignment horizontal="right" vertical="center"/>
    </xf>
    <xf numFmtId="41" fontId="12" fillId="0" borderId="19" xfId="1" applyFont="1" applyBorder="1" applyAlignment="1">
      <alignment horizontal="right" vertical="center"/>
    </xf>
    <xf numFmtId="41" fontId="12" fillId="0" borderId="11" xfId="1" applyFont="1" applyFill="1" applyBorder="1" applyAlignment="1">
      <alignment horizontal="center" vertical="center"/>
    </xf>
    <xf numFmtId="41" fontId="8" fillId="0" borderId="19" xfId="1" applyFont="1" applyFill="1" applyBorder="1" applyAlignment="1">
      <alignment horizontal="right" vertical="center"/>
    </xf>
    <xf numFmtId="41" fontId="8" fillId="0" borderId="11" xfId="1" applyFont="1" applyFill="1" applyBorder="1" applyAlignment="1">
      <alignment horizontal="center" vertical="center"/>
    </xf>
    <xf numFmtId="41" fontId="8" fillId="0" borderId="19" xfId="1" applyFont="1" applyBorder="1" applyAlignment="1">
      <alignment horizontal="right" vertical="center"/>
    </xf>
    <xf numFmtId="0" fontId="8" fillId="0" borderId="20" xfId="0" applyFont="1" applyBorder="1" applyAlignment="1">
      <alignment horizontal="right" vertical="center"/>
    </xf>
    <xf numFmtId="41" fontId="8" fillId="0" borderId="15" xfId="1" applyFont="1" applyFill="1" applyBorder="1" applyAlignment="1">
      <alignment horizontal="center" vertical="center"/>
    </xf>
    <xf numFmtId="41" fontId="8" fillId="0" borderId="12" xfId="1" applyFont="1" applyFill="1" applyBorder="1" applyAlignment="1">
      <alignment horizontal="right" vertical="center"/>
    </xf>
    <xf numFmtId="41" fontId="8" fillId="0" borderId="13" xfId="1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right" vertical="center"/>
    </xf>
    <xf numFmtId="41" fontId="12" fillId="0" borderId="19" xfId="1" applyFont="1" applyFill="1" applyBorder="1" applyAlignment="1">
      <alignment horizontal="right" vertical="center"/>
    </xf>
    <xf numFmtId="41" fontId="8" fillId="0" borderId="20" xfId="1" applyFont="1" applyBorder="1" applyAlignment="1">
      <alignment horizontal="center" vertical="center"/>
    </xf>
    <xf numFmtId="41" fontId="8" fillId="0" borderId="11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7" fontId="8" fillId="0" borderId="20" xfId="0" applyNumberFormat="1" applyFont="1" applyBorder="1" applyAlignment="1">
      <alignment horizontal="right" vertical="center"/>
    </xf>
    <xf numFmtId="41" fontId="8" fillId="0" borderId="12" xfId="1" applyFont="1" applyBorder="1" applyAlignment="1">
      <alignment horizontal="center" vertical="center"/>
    </xf>
    <xf numFmtId="41" fontId="8" fillId="0" borderId="19" xfId="1" applyFont="1" applyBorder="1" applyAlignment="1">
      <alignment horizontal="center" vertical="center"/>
    </xf>
    <xf numFmtId="41" fontId="8" fillId="0" borderId="19" xfId="1" applyFont="1" applyFill="1" applyBorder="1" applyAlignment="1">
      <alignment horizontal="center" vertical="center"/>
    </xf>
    <xf numFmtId="41" fontId="8" fillId="0" borderId="20" xfId="1" applyFont="1" applyBorder="1" applyAlignment="1">
      <alignment horizontal="right" vertical="center"/>
    </xf>
    <xf numFmtId="41" fontId="8" fillId="0" borderId="12" xfId="1" applyFont="1" applyBorder="1" applyAlignment="1">
      <alignment vertical="center"/>
    </xf>
    <xf numFmtId="41" fontId="8" fillId="0" borderId="19" xfId="1" applyFont="1" applyBorder="1" applyAlignment="1">
      <alignment vertical="center"/>
    </xf>
    <xf numFmtId="41" fontId="8" fillId="0" borderId="19" xfId="1" applyFont="1" applyFill="1" applyBorder="1" applyAlignment="1">
      <alignment vertical="center"/>
    </xf>
    <xf numFmtId="41" fontId="8" fillId="0" borderId="20" xfId="1" applyFont="1" applyBorder="1" applyAlignment="1">
      <alignment vertical="center"/>
    </xf>
    <xf numFmtId="176" fontId="8" fillId="0" borderId="23" xfId="1" applyNumberFormat="1" applyFont="1" applyBorder="1" applyAlignment="1">
      <alignment horizontal="center" vertical="center"/>
    </xf>
    <xf numFmtId="41" fontId="8" fillId="0" borderId="1" xfId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41" fontId="7" fillId="0" borderId="0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178" fontId="8" fillId="0" borderId="0" xfId="1" applyNumberFormat="1" applyFont="1" applyAlignment="1">
      <alignment horizontal="center" vertical="center"/>
    </xf>
    <xf numFmtId="41" fontId="8" fillId="0" borderId="25" xfId="1" applyNumberFormat="1" applyFont="1" applyBorder="1" applyAlignment="1">
      <alignment horizontal="center" vertical="center"/>
    </xf>
    <xf numFmtId="41" fontId="8" fillId="0" borderId="25" xfId="0" applyNumberFormat="1" applyFont="1" applyBorder="1" applyAlignment="1">
      <alignment horizontal="right" vertical="center"/>
    </xf>
    <xf numFmtId="41" fontId="8" fillId="0" borderId="25" xfId="1" applyNumberFormat="1" applyFont="1" applyBorder="1" applyAlignment="1">
      <alignment vertical="center"/>
    </xf>
    <xf numFmtId="41" fontId="8" fillId="0" borderId="25" xfId="0" applyNumberFormat="1" applyFont="1" applyBorder="1" applyAlignment="1">
      <alignment vertical="center"/>
    </xf>
    <xf numFmtId="179" fontId="8" fillId="0" borderId="0" xfId="1" applyNumberFormat="1" applyFont="1" applyAlignment="1">
      <alignment horizontal="center" vertical="center"/>
    </xf>
    <xf numFmtId="180" fontId="8" fillId="0" borderId="0" xfId="1" applyNumberFormat="1" applyFont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1" fontId="13" fillId="0" borderId="3" xfId="1" applyFont="1" applyBorder="1" applyAlignment="1">
      <alignment vertical="center" wrapText="1"/>
    </xf>
    <xf numFmtId="0" fontId="14" fillId="0" borderId="0" xfId="0" applyFont="1" applyBorder="1" applyAlignment="1">
      <alignment horizontal="center" vertical="center"/>
    </xf>
    <xf numFmtId="42" fontId="14" fillId="0" borderId="0" xfId="1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41" fontId="12" fillId="0" borderId="13" xfId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1" fontId="8" fillId="0" borderId="15" xfId="1" applyFont="1" applyBorder="1" applyAlignment="1">
      <alignment horizontal="center" vertical="center" shrinkToFit="1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/>
    </xf>
    <xf numFmtId="0" fontId="13" fillId="0" borderId="3" xfId="1" applyNumberFormat="1" applyFont="1" applyBorder="1" applyAlignment="1">
      <alignment horizontal="center" vertical="center"/>
    </xf>
    <xf numFmtId="0" fontId="13" fillId="0" borderId="0" xfId="0" applyFont="1" applyBorder="1" applyAlignment="1">
      <alignment vertical="center" wrapText="1"/>
    </xf>
    <xf numFmtId="41" fontId="13" fillId="0" borderId="0" xfId="1" applyFont="1" applyBorder="1" applyAlignment="1">
      <alignment vertical="center" wrapText="1"/>
    </xf>
    <xf numFmtId="0" fontId="5" fillId="0" borderId="27" xfId="0" applyFont="1" applyBorder="1" applyAlignment="1">
      <alignment horizontal="center" vertical="center"/>
    </xf>
    <xf numFmtId="41" fontId="8" fillId="0" borderId="28" xfId="1" applyFont="1" applyBorder="1" applyAlignment="1">
      <alignment horizontal="center" vertical="center"/>
    </xf>
    <xf numFmtId="41" fontId="8" fillId="0" borderId="29" xfId="1" applyFont="1" applyBorder="1" applyAlignment="1">
      <alignment horizontal="center" vertical="center"/>
    </xf>
    <xf numFmtId="41" fontId="8" fillId="0" borderId="29" xfId="1" applyFont="1" applyFill="1" applyBorder="1" applyAlignment="1">
      <alignment horizontal="center" vertical="center"/>
    </xf>
    <xf numFmtId="41" fontId="8" fillId="0" borderId="30" xfId="1" applyFont="1" applyBorder="1" applyAlignment="1">
      <alignment horizontal="center" vertical="center"/>
    </xf>
    <xf numFmtId="41" fontId="8" fillId="0" borderId="31" xfId="1" applyNumberFormat="1" applyFont="1" applyBorder="1" applyAlignment="1">
      <alignment horizontal="center" vertical="center"/>
    </xf>
    <xf numFmtId="41" fontId="13" fillId="0" borderId="1" xfId="1" applyFont="1" applyBorder="1" applyAlignment="1">
      <alignment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41" fontId="7" fillId="0" borderId="34" xfId="1" applyFont="1" applyBorder="1" applyAlignment="1">
      <alignment horizontal="center" vertical="center"/>
    </xf>
    <xf numFmtId="41" fontId="13" fillId="0" borderId="38" xfId="1" applyFont="1" applyBorder="1" applyAlignment="1">
      <alignment horizontal="center" vertical="center" wrapText="1"/>
    </xf>
    <xf numFmtId="41" fontId="13" fillId="0" borderId="36" xfId="1" applyFont="1" applyBorder="1" applyAlignment="1">
      <alignment horizontal="center" vertical="center" wrapText="1"/>
    </xf>
    <xf numFmtId="41" fontId="13" fillId="0" borderId="41" xfId="1" applyFont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 wrapText="1"/>
    </xf>
    <xf numFmtId="41" fontId="14" fillId="0" borderId="47" xfId="1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41" fontId="14" fillId="0" borderId="43" xfId="1" applyFont="1" applyBorder="1" applyAlignment="1">
      <alignment horizontal="center" vertical="center" wrapText="1"/>
    </xf>
    <xf numFmtId="41" fontId="13" fillId="0" borderId="39" xfId="0" applyNumberFormat="1" applyFont="1" applyBorder="1" applyAlignment="1">
      <alignment horizontal="center" vertical="center" wrapText="1"/>
    </xf>
    <xf numFmtId="41" fontId="13" fillId="0" borderId="40" xfId="1" applyFont="1" applyBorder="1" applyAlignment="1">
      <alignment horizontal="center" vertical="center" wrapText="1"/>
    </xf>
    <xf numFmtId="41" fontId="13" fillId="0" borderId="50" xfId="1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/>
    </xf>
    <xf numFmtId="41" fontId="8" fillId="0" borderId="11" xfId="1" applyFont="1" applyBorder="1" applyAlignment="1">
      <alignment horizontal="center" vertical="center"/>
    </xf>
    <xf numFmtId="41" fontId="13" fillId="0" borderId="3" xfId="1" applyFont="1" applyBorder="1" applyAlignment="1">
      <alignment vertical="center"/>
    </xf>
    <xf numFmtId="41" fontId="13" fillId="0" borderId="3" xfId="1" applyFont="1" applyBorder="1" applyAlignment="1">
      <alignment horizontal="center" vertical="center"/>
    </xf>
    <xf numFmtId="41" fontId="13" fillId="0" borderId="3" xfId="1" applyFont="1" applyBorder="1" applyAlignment="1">
      <alignment horizontal="center" vertical="center" wrapText="1"/>
    </xf>
    <xf numFmtId="41" fontId="13" fillId="0" borderId="1" xfId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41" fontId="13" fillId="0" borderId="1" xfId="1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 wrapText="1"/>
    </xf>
    <xf numFmtId="41" fontId="13" fillId="0" borderId="1" xfId="1" applyFont="1" applyBorder="1" applyAlignment="1">
      <alignment vertical="center"/>
    </xf>
    <xf numFmtId="41" fontId="13" fillId="0" borderId="40" xfId="1" applyFont="1" applyBorder="1" applyAlignment="1">
      <alignment vertical="center"/>
    </xf>
    <xf numFmtId="41" fontId="13" fillId="0" borderId="37" xfId="0" applyNumberFormat="1" applyFont="1" applyBorder="1" applyAlignment="1">
      <alignment vertical="center" wrapText="1"/>
    </xf>
    <xf numFmtId="41" fontId="13" fillId="0" borderId="39" xfId="0" applyNumberFormat="1" applyFont="1" applyBorder="1" applyAlignment="1">
      <alignment vertical="center" wrapText="1"/>
    </xf>
    <xf numFmtId="41" fontId="13" fillId="0" borderId="37" xfId="0" applyNumberFormat="1" applyFont="1" applyBorder="1" applyAlignment="1">
      <alignment horizontal="center" vertical="center" wrapText="1"/>
    </xf>
    <xf numFmtId="41" fontId="13" fillId="0" borderId="40" xfId="1" applyFont="1" applyBorder="1" applyAlignment="1">
      <alignment vertical="center" wrapText="1"/>
    </xf>
    <xf numFmtId="0" fontId="7" fillId="0" borderId="34" xfId="0" applyFont="1" applyBorder="1" applyAlignment="1">
      <alignment horizontal="center" vertical="center" wrapText="1"/>
    </xf>
    <xf numFmtId="41" fontId="8" fillId="0" borderId="3" xfId="1" applyFont="1" applyBorder="1" applyAlignment="1">
      <alignment vertical="center"/>
    </xf>
    <xf numFmtId="41" fontId="8" fillId="0" borderId="3" xfId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center" wrapText="1"/>
    </xf>
    <xf numFmtId="41" fontId="13" fillId="0" borderId="3" xfId="1" applyFont="1" applyBorder="1" applyAlignment="1">
      <alignment horizontal="center" vertical="center"/>
    </xf>
    <xf numFmtId="41" fontId="13" fillId="0" borderId="3" xfId="1" applyFont="1" applyBorder="1" applyAlignment="1">
      <alignment vertical="center"/>
    </xf>
    <xf numFmtId="41" fontId="13" fillId="0" borderId="3" xfId="1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41" fontId="13" fillId="0" borderId="3" xfId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41" fontId="13" fillId="0" borderId="1" xfId="1" applyFont="1" applyBorder="1" applyAlignment="1">
      <alignment horizontal="left" vertical="center" wrapText="1"/>
    </xf>
    <xf numFmtId="41" fontId="13" fillId="0" borderId="1" xfId="1" applyFont="1" applyBorder="1" applyAlignment="1">
      <alignment horizontal="center" vertical="center" wrapText="1"/>
    </xf>
    <xf numFmtId="41" fontId="13" fillId="0" borderId="1" xfId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41" fontId="13" fillId="0" borderId="37" xfId="0" applyNumberFormat="1" applyFont="1" applyBorder="1" applyAlignment="1">
      <alignment vertical="center" wrapText="1"/>
    </xf>
    <xf numFmtId="41" fontId="13" fillId="0" borderId="39" xfId="0" applyNumberFormat="1" applyFont="1" applyBorder="1" applyAlignment="1">
      <alignment vertical="center" wrapText="1"/>
    </xf>
    <xf numFmtId="41" fontId="13" fillId="0" borderId="40" xfId="1" applyFont="1" applyBorder="1" applyAlignment="1">
      <alignment horizontal="center" vertical="center"/>
    </xf>
    <xf numFmtId="41" fontId="13" fillId="0" borderId="37" xfId="0" applyNumberFormat="1" applyFont="1" applyBorder="1" applyAlignment="1">
      <alignment horizontal="center" vertical="center" wrapText="1"/>
    </xf>
    <xf numFmtId="41" fontId="13" fillId="0" borderId="1" xfId="1" applyFont="1" applyBorder="1" applyAlignment="1">
      <alignment vertical="center"/>
    </xf>
    <xf numFmtId="41" fontId="13" fillId="0" borderId="40" xfId="1" applyFont="1" applyBorder="1" applyAlignment="1">
      <alignment vertical="center"/>
    </xf>
    <xf numFmtId="41" fontId="13" fillId="0" borderId="40" xfId="1" applyFont="1" applyBorder="1" applyAlignment="1">
      <alignment horizontal="left" vertical="center" wrapText="1"/>
    </xf>
    <xf numFmtId="0" fontId="7" fillId="0" borderId="34" xfId="0" applyFont="1" applyBorder="1" applyAlignment="1">
      <alignment horizontal="center" vertical="center" wrapText="1"/>
    </xf>
    <xf numFmtId="41" fontId="13" fillId="0" borderId="36" xfId="1" applyFont="1" applyBorder="1" applyAlignment="1">
      <alignment horizontal="center" vertical="center" wrapText="1"/>
    </xf>
    <xf numFmtId="41" fontId="13" fillId="0" borderId="38" xfId="1" applyFont="1" applyBorder="1" applyAlignment="1">
      <alignment horizontal="center" vertical="center" wrapText="1"/>
    </xf>
    <xf numFmtId="41" fontId="13" fillId="0" borderId="40" xfId="1" applyFont="1" applyBorder="1" applyAlignment="1">
      <alignment horizontal="center" vertical="center" wrapText="1"/>
    </xf>
    <xf numFmtId="41" fontId="13" fillId="0" borderId="41" xfId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41" fontId="8" fillId="0" borderId="1" xfId="1" applyFont="1" applyBorder="1" applyAlignment="1">
      <alignment vertical="center"/>
    </xf>
    <xf numFmtId="41" fontId="8" fillId="0" borderId="1" xfId="1" applyFont="1" applyBorder="1" applyAlignment="1">
      <alignment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38" xfId="0" applyFont="1" applyBorder="1" applyAlignment="1">
      <alignment vertical="center" wrapText="1"/>
    </xf>
    <xf numFmtId="41" fontId="8" fillId="0" borderId="37" xfId="0" applyNumberFormat="1" applyFont="1" applyBorder="1" applyAlignment="1">
      <alignment vertical="center" wrapText="1"/>
    </xf>
    <xf numFmtId="41" fontId="8" fillId="0" borderId="37" xfId="0" applyNumberFormat="1" applyFont="1" applyBorder="1" applyAlignment="1">
      <alignment horizontal="center" vertical="center" wrapText="1"/>
    </xf>
    <xf numFmtId="41" fontId="8" fillId="0" borderId="38" xfId="1" applyFont="1" applyBorder="1" applyAlignment="1">
      <alignment vertical="center" wrapText="1"/>
    </xf>
    <xf numFmtId="41" fontId="8" fillId="0" borderId="39" xfId="0" applyNumberFormat="1" applyFont="1" applyBorder="1" applyAlignment="1">
      <alignment vertical="center" wrapText="1"/>
    </xf>
    <xf numFmtId="0" fontId="8" fillId="0" borderId="40" xfId="0" applyFont="1" applyBorder="1" applyAlignment="1">
      <alignment vertical="center" wrapText="1"/>
    </xf>
    <xf numFmtId="0" fontId="8" fillId="0" borderId="41" xfId="0" applyFont="1" applyBorder="1" applyAlignment="1">
      <alignment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8" fillId="0" borderId="36" xfId="0" applyFont="1" applyBorder="1" applyAlignment="1">
      <alignment vertical="center" wrapText="1"/>
    </xf>
    <xf numFmtId="41" fontId="7" fillId="0" borderId="47" xfId="0" applyNumberFormat="1" applyFont="1" applyBorder="1" applyAlignment="1">
      <alignment vertical="center" wrapText="1"/>
    </xf>
    <xf numFmtId="41" fontId="8" fillId="0" borderId="38" xfId="1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41" fontId="8" fillId="0" borderId="41" xfId="1" applyFont="1" applyBorder="1" applyAlignment="1">
      <alignment horizontal="center" vertical="center" wrapText="1"/>
    </xf>
    <xf numFmtId="41" fontId="8" fillId="0" borderId="36" xfId="1" applyFont="1" applyBorder="1" applyAlignment="1">
      <alignment horizontal="center" vertical="center" wrapText="1"/>
    </xf>
    <xf numFmtId="41" fontId="7" fillId="0" borderId="43" xfId="0" applyNumberFormat="1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 shrinkToFit="1"/>
    </xf>
    <xf numFmtId="0" fontId="13" fillId="0" borderId="1" xfId="0" applyFont="1" applyBorder="1" applyAlignment="1">
      <alignment vertical="center" wrapText="1" shrinkToFit="1"/>
    </xf>
    <xf numFmtId="41" fontId="8" fillId="0" borderId="1" xfId="1" applyFont="1" applyBorder="1" applyAlignment="1">
      <alignment horizontal="left" vertical="center" wrapText="1"/>
    </xf>
    <xf numFmtId="0" fontId="8" fillId="0" borderId="38" xfId="0" applyFont="1" applyBorder="1" applyAlignment="1">
      <alignment vertical="center" wrapText="1" shrinkToFit="1"/>
    </xf>
    <xf numFmtId="0" fontId="13" fillId="0" borderId="38" xfId="0" applyFont="1" applyBorder="1" applyAlignment="1">
      <alignment vertical="center" wrapText="1" shrinkToFit="1"/>
    </xf>
    <xf numFmtId="41" fontId="8" fillId="0" borderId="40" xfId="1" applyFont="1" applyBorder="1" applyAlignment="1">
      <alignment horizontal="center" vertical="center"/>
    </xf>
    <xf numFmtId="0" fontId="8" fillId="0" borderId="40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 wrapText="1" shrinkToFit="1"/>
    </xf>
    <xf numFmtId="0" fontId="8" fillId="0" borderId="36" xfId="0" applyFont="1" applyBorder="1" applyAlignment="1">
      <alignment vertical="center" wrapText="1" shrinkToFit="1"/>
    </xf>
    <xf numFmtId="41" fontId="13" fillId="0" borderId="38" xfId="1" applyFont="1" applyBorder="1" applyAlignment="1">
      <alignment vertical="center" wrapText="1"/>
    </xf>
    <xf numFmtId="0" fontId="7" fillId="0" borderId="32" xfId="0" applyFont="1" applyBorder="1" applyAlignment="1">
      <alignment horizontal="center" vertical="center" wrapText="1"/>
    </xf>
    <xf numFmtId="41" fontId="7" fillId="0" borderId="43" xfId="0" applyNumberFormat="1" applyFont="1" applyBorder="1" applyAlignment="1">
      <alignment horizontal="center" vertical="center" wrapText="1"/>
    </xf>
    <xf numFmtId="41" fontId="14" fillId="0" borderId="43" xfId="0" applyNumberFormat="1" applyFont="1" applyBorder="1" applyAlignment="1">
      <alignment vertical="center" wrapText="1"/>
    </xf>
    <xf numFmtId="0" fontId="13" fillId="0" borderId="1" xfId="1" applyNumberFormat="1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41" fontId="13" fillId="0" borderId="1" xfId="1" applyFont="1" applyBorder="1" applyAlignment="1">
      <alignment vertical="top" wrapText="1"/>
    </xf>
    <xf numFmtId="0" fontId="13" fillId="0" borderId="38" xfId="0" applyFont="1" applyBorder="1" applyAlignment="1">
      <alignment vertical="center" wrapText="1"/>
    </xf>
    <xf numFmtId="41" fontId="13" fillId="0" borderId="38" xfId="1" applyFont="1" applyBorder="1" applyAlignment="1">
      <alignment vertical="top" wrapText="1"/>
    </xf>
    <xf numFmtId="0" fontId="13" fillId="0" borderId="40" xfId="1" applyNumberFormat="1" applyFont="1" applyBorder="1" applyAlignment="1">
      <alignment horizontal="center" vertical="center"/>
    </xf>
    <xf numFmtId="0" fontId="13" fillId="0" borderId="40" xfId="0" applyFont="1" applyBorder="1" applyAlignment="1">
      <alignment horizontal="left" vertical="center" wrapText="1"/>
    </xf>
    <xf numFmtId="0" fontId="13" fillId="0" borderId="40" xfId="0" applyFont="1" applyBorder="1" applyAlignment="1">
      <alignment vertical="center" wrapText="1"/>
    </xf>
    <xf numFmtId="0" fontId="13" fillId="0" borderId="41" xfId="0" applyFont="1" applyBorder="1" applyAlignment="1">
      <alignment vertical="center" wrapText="1"/>
    </xf>
    <xf numFmtId="41" fontId="13" fillId="0" borderId="36" xfId="1" applyFont="1" applyBorder="1" applyAlignment="1">
      <alignment vertical="center" wrapText="1"/>
    </xf>
    <xf numFmtId="0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41" fontId="13" fillId="0" borderId="1" xfId="1" applyFont="1" applyBorder="1" applyAlignment="1">
      <alignment horizontal="left" vertical="center"/>
    </xf>
    <xf numFmtId="0" fontId="13" fillId="0" borderId="38" xfId="0" applyFont="1" applyBorder="1" applyAlignment="1">
      <alignment vertical="top" wrapText="1"/>
    </xf>
    <xf numFmtId="0" fontId="13" fillId="0" borderId="3" xfId="0" applyFont="1" applyBorder="1" applyAlignment="1">
      <alignment vertical="center" wrapText="1"/>
    </xf>
    <xf numFmtId="0" fontId="13" fillId="0" borderId="36" xfId="0" applyFont="1" applyBorder="1" applyAlignment="1">
      <alignment vertical="center" wrapText="1"/>
    </xf>
    <xf numFmtId="0" fontId="11" fillId="0" borderId="0" xfId="0" applyFont="1" applyBorder="1" applyAlignment="1">
      <alignment vertical="center"/>
    </xf>
    <xf numFmtId="41" fontId="13" fillId="0" borderId="41" xfId="1" applyFont="1" applyBorder="1" applyAlignment="1">
      <alignment vertical="center" wrapText="1"/>
    </xf>
    <xf numFmtId="0" fontId="5" fillId="0" borderId="38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41" fontId="13" fillId="0" borderId="38" xfId="1" applyFont="1" applyBorder="1" applyAlignment="1">
      <alignment vertical="center"/>
    </xf>
    <xf numFmtId="41" fontId="13" fillId="0" borderId="36" xfId="1" applyFont="1" applyBorder="1" applyAlignment="1">
      <alignment vertical="center"/>
    </xf>
    <xf numFmtId="0" fontId="7" fillId="0" borderId="34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41" fontId="7" fillId="0" borderId="46" xfId="1" applyFont="1" applyBorder="1" applyAlignment="1">
      <alignment horizontal="center" vertical="center" wrapText="1"/>
    </xf>
    <xf numFmtId="41" fontId="7" fillId="0" borderId="32" xfId="1" applyFont="1" applyBorder="1" applyAlignment="1">
      <alignment horizontal="center" vertical="center"/>
    </xf>
    <xf numFmtId="41" fontId="8" fillId="0" borderId="35" xfId="0" applyNumberFormat="1" applyFont="1" applyBorder="1" applyAlignment="1">
      <alignment vertical="center" wrapText="1"/>
    </xf>
    <xf numFmtId="41" fontId="8" fillId="0" borderId="37" xfId="0" applyNumberFormat="1" applyFont="1" applyBorder="1" applyAlignment="1">
      <alignment vertical="center" wrapText="1"/>
    </xf>
    <xf numFmtId="41" fontId="8" fillId="0" borderId="39" xfId="0" applyNumberFormat="1" applyFont="1" applyBorder="1" applyAlignment="1">
      <alignment vertical="center" wrapText="1"/>
    </xf>
    <xf numFmtId="41" fontId="8" fillId="0" borderId="3" xfId="1" applyFont="1" applyBorder="1" applyAlignment="1">
      <alignment vertical="center"/>
    </xf>
    <xf numFmtId="41" fontId="8" fillId="0" borderId="1" xfId="1" applyFont="1" applyBorder="1" applyAlignment="1">
      <alignment vertical="center"/>
    </xf>
    <xf numFmtId="41" fontId="8" fillId="0" borderId="40" xfId="1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8" fillId="0" borderId="37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41" fontId="8" fillId="0" borderId="1" xfId="1" applyFont="1" applyBorder="1" applyAlignment="1">
      <alignment horizontal="center" vertical="center"/>
    </xf>
    <xf numFmtId="41" fontId="8" fillId="0" borderId="3" xfId="1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41" fontId="8" fillId="0" borderId="40" xfId="1" applyFont="1" applyBorder="1" applyAlignment="1">
      <alignment horizontal="center" vertical="center"/>
    </xf>
    <xf numFmtId="41" fontId="8" fillId="0" borderId="1" xfId="1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8" fillId="0" borderId="1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41" fontId="13" fillId="0" borderId="37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NumberFormat="1" applyFont="1" applyBorder="1" applyAlignment="1">
      <alignment horizontal="center" vertical="center" wrapText="1"/>
    </xf>
    <xf numFmtId="0" fontId="13" fillId="0" borderId="1" xfId="0" applyNumberFormat="1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40" xfId="0" applyNumberFormat="1" applyFont="1" applyBorder="1" applyAlignment="1">
      <alignment horizontal="center" vertical="center" wrapText="1"/>
    </xf>
    <xf numFmtId="41" fontId="13" fillId="0" borderId="3" xfId="1" applyFont="1" applyBorder="1" applyAlignment="1">
      <alignment horizontal="center" vertical="center"/>
    </xf>
    <xf numFmtId="41" fontId="13" fillId="0" borderId="1" xfId="1" applyFont="1" applyBorder="1" applyAlignment="1">
      <alignment horizontal="center" vertical="center"/>
    </xf>
    <xf numFmtId="41" fontId="13" fillId="0" borderId="40" xfId="1" applyFont="1" applyBorder="1" applyAlignment="1">
      <alignment horizontal="center" vertical="center"/>
    </xf>
    <xf numFmtId="0" fontId="13" fillId="0" borderId="1" xfId="1" applyNumberFormat="1" applyFont="1" applyBorder="1" applyAlignment="1">
      <alignment horizontal="center" vertical="center"/>
    </xf>
    <xf numFmtId="41" fontId="14" fillId="0" borderId="46" xfId="1" applyFont="1" applyBorder="1" applyAlignment="1">
      <alignment horizontal="center" vertical="center" wrapText="1"/>
    </xf>
    <xf numFmtId="41" fontId="14" fillId="0" borderId="32" xfId="1" applyFont="1" applyBorder="1" applyAlignment="1">
      <alignment horizontal="center" vertical="center"/>
    </xf>
    <xf numFmtId="0" fontId="14" fillId="0" borderId="0" xfId="0" applyFont="1" applyBorder="1" applyAlignment="1">
      <alignment horizontal="left" vertical="center"/>
    </xf>
    <xf numFmtId="0" fontId="14" fillId="0" borderId="48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41" fontId="13" fillId="0" borderId="35" xfId="0" applyNumberFormat="1" applyFont="1" applyBorder="1" applyAlignment="1">
      <alignment vertical="center" wrapText="1"/>
    </xf>
    <xf numFmtId="41" fontId="13" fillId="0" borderId="37" xfId="0" applyNumberFormat="1" applyFont="1" applyBorder="1" applyAlignment="1">
      <alignment vertical="center" wrapText="1"/>
    </xf>
    <xf numFmtId="41" fontId="13" fillId="0" borderId="39" xfId="0" applyNumberFormat="1" applyFont="1" applyBorder="1" applyAlignment="1">
      <alignment vertical="center" wrapText="1"/>
    </xf>
    <xf numFmtId="41" fontId="13" fillId="0" borderId="3" xfId="1" applyFont="1" applyBorder="1" applyAlignment="1">
      <alignment vertical="center"/>
    </xf>
    <xf numFmtId="41" fontId="13" fillId="0" borderId="1" xfId="1" applyFont="1" applyBorder="1" applyAlignment="1">
      <alignment vertical="center"/>
    </xf>
    <xf numFmtId="41" fontId="13" fillId="0" borderId="40" xfId="1" applyFont="1" applyBorder="1" applyAlignment="1">
      <alignment vertical="center"/>
    </xf>
    <xf numFmtId="0" fontId="13" fillId="0" borderId="1" xfId="1" applyNumberFormat="1" applyFont="1" applyBorder="1" applyAlignment="1">
      <alignment horizontal="center" vertical="center" wrapText="1"/>
    </xf>
    <xf numFmtId="41" fontId="13" fillId="0" borderId="3" xfId="1" applyFont="1" applyBorder="1" applyAlignment="1">
      <alignment horizontal="left" vertical="center" wrapText="1"/>
    </xf>
    <xf numFmtId="41" fontId="13" fillId="0" borderId="1" xfId="1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41" fontId="13" fillId="0" borderId="1" xfId="1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41" fontId="13" fillId="0" borderId="3" xfId="1" applyFont="1" applyBorder="1" applyAlignment="1">
      <alignment horizontal="center" vertical="center" wrapText="1"/>
    </xf>
    <xf numFmtId="41" fontId="13" fillId="0" borderId="49" xfId="0" applyNumberFormat="1" applyFont="1" applyBorder="1" applyAlignment="1">
      <alignment vertical="center" wrapText="1"/>
    </xf>
    <xf numFmtId="41" fontId="13" fillId="0" borderId="6" xfId="1" applyFont="1" applyBorder="1" applyAlignment="1">
      <alignment horizontal="center" vertical="center"/>
    </xf>
    <xf numFmtId="41" fontId="13" fillId="0" borderId="6" xfId="1" applyFont="1" applyBorder="1" applyAlignment="1">
      <alignment vertical="center"/>
    </xf>
    <xf numFmtId="0" fontId="13" fillId="0" borderId="45" xfId="0" applyFont="1" applyBorder="1" applyAlignment="1">
      <alignment horizontal="center" vertical="center" wrapText="1"/>
    </xf>
    <xf numFmtId="41" fontId="13" fillId="0" borderId="44" xfId="1" applyFont="1" applyBorder="1" applyAlignment="1">
      <alignment horizontal="center" vertical="center"/>
    </xf>
    <xf numFmtId="41" fontId="13" fillId="0" borderId="7" xfId="1" applyFont="1" applyBorder="1" applyAlignment="1">
      <alignment horizontal="center" vertical="center"/>
    </xf>
    <xf numFmtId="41" fontId="13" fillId="0" borderId="40" xfId="1" applyFont="1" applyBorder="1" applyAlignment="1">
      <alignment horizontal="center" vertical="center" wrapText="1"/>
    </xf>
    <xf numFmtId="41" fontId="13" fillId="0" borderId="38" xfId="1" applyFont="1" applyBorder="1" applyAlignment="1">
      <alignment horizontal="center" vertical="center" wrapText="1"/>
    </xf>
    <xf numFmtId="41" fontId="13" fillId="0" borderId="41" xfId="1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41" fontId="13" fillId="0" borderId="36" xfId="1" applyFont="1" applyBorder="1" applyAlignment="1">
      <alignment horizontal="center" vertical="center"/>
    </xf>
    <xf numFmtId="41" fontId="13" fillId="0" borderId="38" xfId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41" fontId="8" fillId="0" borderId="19" xfId="1" applyFont="1" applyBorder="1" applyAlignment="1">
      <alignment horizontal="center" vertical="center"/>
    </xf>
    <xf numFmtId="41" fontId="8" fillId="0" borderId="9" xfId="1" applyFont="1" applyBorder="1" applyAlignment="1">
      <alignment horizontal="center" vertical="center"/>
    </xf>
    <xf numFmtId="41" fontId="8" fillId="0" borderId="11" xfId="1" applyFont="1" applyBorder="1" applyAlignment="1">
      <alignment horizontal="center" vertical="center"/>
    </xf>
    <xf numFmtId="41" fontId="8" fillId="0" borderId="12" xfId="1" applyFont="1" applyBorder="1" applyAlignment="1">
      <alignment horizontal="center" vertical="center"/>
    </xf>
    <xf numFmtId="41" fontId="8" fillId="0" borderId="13" xfId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1" fontId="8" fillId="0" borderId="18" xfId="1" applyFont="1" applyBorder="1" applyAlignment="1">
      <alignment horizontal="center" vertical="center"/>
    </xf>
    <xf numFmtId="41" fontId="8" fillId="0" borderId="26" xfId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41" fontId="8" fillId="0" borderId="10" xfId="1" applyFont="1" applyBorder="1" applyAlignment="1">
      <alignment horizontal="center" vertical="center"/>
    </xf>
    <xf numFmtId="176" fontId="8" fillId="0" borderId="18" xfId="0" applyNumberFormat="1" applyFont="1" applyBorder="1" applyAlignment="1">
      <alignment horizontal="center" vertical="center" shrinkToFit="1"/>
    </xf>
    <xf numFmtId="176" fontId="8" fillId="0" borderId="25" xfId="0" applyNumberFormat="1" applyFont="1" applyBorder="1" applyAlignment="1">
      <alignment horizontal="center" vertical="center" shrinkToFit="1"/>
    </xf>
    <xf numFmtId="41" fontId="8" fillId="0" borderId="18" xfId="1" applyFont="1" applyBorder="1" applyAlignment="1">
      <alignment horizontal="center" vertical="center" wrapText="1"/>
    </xf>
    <xf numFmtId="41" fontId="8" fillId="0" borderId="26" xfId="1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1" fontId="8" fillId="0" borderId="20" xfId="1" applyFont="1" applyBorder="1" applyAlignment="1">
      <alignment vertical="center"/>
    </xf>
    <xf numFmtId="41" fontId="8" fillId="0" borderId="14" xfId="1" applyFont="1" applyBorder="1" applyAlignment="1">
      <alignment vertical="center"/>
    </xf>
    <xf numFmtId="41" fontId="8" fillId="0" borderId="15" xfId="1" applyFont="1" applyBorder="1" applyAlignment="1">
      <alignment vertical="center"/>
    </xf>
    <xf numFmtId="41" fontId="8" fillId="0" borderId="20" xfId="1" applyFont="1" applyBorder="1" applyAlignment="1">
      <alignment horizontal="center" vertical="center"/>
    </xf>
    <xf numFmtId="41" fontId="8" fillId="0" borderId="15" xfId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76" fontId="7" fillId="0" borderId="0" xfId="0" applyNumberFormat="1" applyFont="1" applyBorder="1" applyAlignment="1">
      <alignment horizontal="left" vertical="center"/>
    </xf>
  </cellXfs>
  <cellStyles count="4">
    <cellStyle name="쉼표 [0]" xfId="1" builtinId="6"/>
    <cellStyle name="표준" xfId="0" builtinId="0"/>
    <cellStyle name="표준 2" xfId="2"/>
    <cellStyle name="표준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abSelected="1" zoomScaleNormal="100" workbookViewId="0">
      <selection activeCell="K13" sqref="K13"/>
    </sheetView>
  </sheetViews>
  <sheetFormatPr defaultRowHeight="24.95" customHeight="1" x14ac:dyDescent="0.3"/>
  <cols>
    <col min="1" max="1" width="14.875" style="1" customWidth="1"/>
    <col min="2" max="2" width="14.125" style="1" bestFit="1" customWidth="1"/>
    <col min="3" max="3" width="12.375" style="1" bestFit="1" customWidth="1"/>
    <col min="4" max="4" width="13.875" style="2" customWidth="1"/>
    <col min="5" max="5" width="21.125" style="1" customWidth="1"/>
    <col min="6" max="7" width="20.625" style="1" customWidth="1"/>
    <col min="8" max="16384" width="9" style="1"/>
  </cols>
  <sheetData>
    <row r="1" spans="1:7" ht="24.95" customHeight="1" x14ac:dyDescent="0.25">
      <c r="A1" s="10"/>
      <c r="B1" s="55"/>
      <c r="C1" s="234" t="s">
        <v>61</v>
      </c>
      <c r="D1" s="234"/>
      <c r="E1" s="234"/>
      <c r="F1" s="235" t="s">
        <v>58</v>
      </c>
      <c r="G1" s="235"/>
    </row>
    <row r="2" spans="1:7" ht="24.95" customHeight="1" x14ac:dyDescent="0.3">
      <c r="A2" s="221" t="s">
        <v>26</v>
      </c>
      <c r="B2" s="221"/>
      <c r="C2" s="221"/>
      <c r="D2" s="221"/>
      <c r="E2" s="221"/>
      <c r="F2" s="221"/>
    </row>
    <row r="3" spans="1:7" ht="24.95" customHeight="1" x14ac:dyDescent="0.3">
      <c r="A3" s="221" t="s">
        <v>9</v>
      </c>
      <c r="B3" s="221"/>
      <c r="C3" s="3"/>
      <c r="D3" s="4"/>
      <c r="E3" s="5"/>
      <c r="F3" s="5"/>
    </row>
    <row r="4" spans="1:7" ht="24.95" customHeight="1" x14ac:dyDescent="0.3">
      <c r="A4" s="8" t="s">
        <v>59</v>
      </c>
      <c r="B4" s="56">
        <f>SUM(C7:C14)</f>
        <v>0</v>
      </c>
      <c r="C4" s="3"/>
      <c r="D4" s="4"/>
      <c r="E4" s="5"/>
      <c r="F4" s="5"/>
    </row>
    <row r="5" spans="1:7" ht="24.95" customHeight="1" thickBot="1" x14ac:dyDescent="0.35">
      <c r="A5" s="8" t="s">
        <v>60</v>
      </c>
      <c r="B5" s="56">
        <f>SUM(A8,A10,A12,A14)</f>
        <v>0</v>
      </c>
      <c r="C5" s="3"/>
      <c r="D5" s="4"/>
      <c r="E5" s="5"/>
      <c r="F5" s="5"/>
    </row>
    <row r="6" spans="1:7" ht="24.95" customHeight="1" thickBot="1" x14ac:dyDescent="0.35">
      <c r="A6" s="94" t="s">
        <v>2</v>
      </c>
      <c r="B6" s="95" t="s">
        <v>3</v>
      </c>
      <c r="C6" s="95" t="s">
        <v>4</v>
      </c>
      <c r="D6" s="96" t="s">
        <v>5</v>
      </c>
      <c r="E6" s="148" t="s">
        <v>6</v>
      </c>
      <c r="F6" s="211" t="s">
        <v>126</v>
      </c>
      <c r="G6" s="212"/>
    </row>
    <row r="7" spans="1:7" ht="24.95" customHeight="1" thickTop="1" x14ac:dyDescent="0.3">
      <c r="A7" s="165" t="s">
        <v>77</v>
      </c>
      <c r="B7" s="125"/>
      <c r="C7" s="125"/>
      <c r="D7" s="125"/>
      <c r="E7" s="126"/>
      <c r="F7" s="166"/>
      <c r="G7" s="167"/>
    </row>
    <row r="8" spans="1:7" ht="24.95" customHeight="1" x14ac:dyDescent="0.3">
      <c r="A8" s="159">
        <f>SUM(D7:D8)</f>
        <v>0</v>
      </c>
      <c r="B8" s="54"/>
      <c r="C8" s="54"/>
      <c r="D8" s="54"/>
      <c r="E8" s="153"/>
      <c r="F8" s="154"/>
      <c r="G8" s="158"/>
    </row>
    <row r="9" spans="1:7" ht="24.95" customHeight="1" x14ac:dyDescent="0.3">
      <c r="A9" s="157" t="s">
        <v>54</v>
      </c>
      <c r="B9" s="54"/>
      <c r="C9" s="54"/>
      <c r="D9" s="54"/>
      <c r="E9" s="153"/>
      <c r="F9" s="154"/>
      <c r="G9" s="158"/>
    </row>
    <row r="10" spans="1:7" ht="24.95" customHeight="1" x14ac:dyDescent="0.3">
      <c r="A10" s="159">
        <f>SUM(D9:D10)</f>
        <v>0</v>
      </c>
      <c r="B10" s="54"/>
      <c r="C10" s="54"/>
      <c r="D10" s="54"/>
      <c r="E10" s="153"/>
      <c r="F10" s="154"/>
      <c r="G10" s="158"/>
    </row>
    <row r="11" spans="1:7" ht="24.95" customHeight="1" x14ac:dyDescent="0.3">
      <c r="A11" s="160" t="s">
        <v>55</v>
      </c>
      <c r="B11" s="224"/>
      <c r="C11" s="224"/>
      <c r="D11" s="54"/>
      <c r="E11" s="153"/>
      <c r="F11" s="154"/>
      <c r="G11" s="158"/>
    </row>
    <row r="12" spans="1:7" ht="24.95" customHeight="1" x14ac:dyDescent="0.3">
      <c r="A12" s="160">
        <f>SUM(D11:D12)</f>
        <v>0</v>
      </c>
      <c r="B12" s="224"/>
      <c r="C12" s="224"/>
      <c r="D12" s="155"/>
      <c r="E12" s="156"/>
      <c r="F12" s="156"/>
      <c r="G12" s="161"/>
    </row>
    <row r="13" spans="1:7" ht="24.95" customHeight="1" x14ac:dyDescent="0.3">
      <c r="A13" s="160" t="s">
        <v>56</v>
      </c>
      <c r="B13" s="224"/>
      <c r="C13" s="224"/>
      <c r="D13" s="224"/>
      <c r="E13" s="230"/>
      <c r="F13" s="154"/>
      <c r="G13" s="158"/>
    </row>
    <row r="14" spans="1:7" ht="24.95" customHeight="1" thickBot="1" x14ac:dyDescent="0.35">
      <c r="A14" s="162">
        <f>SUM(D13:D14)</f>
        <v>0</v>
      </c>
      <c r="B14" s="232"/>
      <c r="C14" s="232"/>
      <c r="D14" s="232"/>
      <c r="E14" s="231"/>
      <c r="F14" s="163"/>
      <c r="G14" s="164"/>
    </row>
    <row r="15" spans="1:7" ht="24.95" customHeight="1" x14ac:dyDescent="0.3">
      <c r="A15" s="221" t="s">
        <v>65</v>
      </c>
      <c r="B15" s="221"/>
      <c r="C15" s="3"/>
      <c r="D15" s="4"/>
      <c r="E15" s="5"/>
      <c r="F15" s="5"/>
    </row>
    <row r="16" spans="1:7" ht="24.95" customHeight="1" x14ac:dyDescent="0.3">
      <c r="A16" s="8" t="s">
        <v>62</v>
      </c>
      <c r="B16" s="9">
        <f>SUM(C19:C29)</f>
        <v>0</v>
      </c>
      <c r="C16" s="3"/>
      <c r="D16" s="4"/>
      <c r="E16" s="5"/>
      <c r="F16" s="5"/>
    </row>
    <row r="17" spans="1:7" ht="24.95" customHeight="1" thickBot="1" x14ac:dyDescent="0.35">
      <c r="A17" s="8" t="s">
        <v>63</v>
      </c>
      <c r="B17" s="9">
        <f>SUM(A22,A25,A27,A29)</f>
        <v>0</v>
      </c>
      <c r="C17" s="3"/>
      <c r="D17" s="4"/>
      <c r="E17" s="5"/>
      <c r="F17" s="5"/>
    </row>
    <row r="18" spans="1:7" ht="24.95" customHeight="1" thickBot="1" x14ac:dyDescent="0.35">
      <c r="A18" s="94" t="s">
        <v>2</v>
      </c>
      <c r="B18" s="95" t="s">
        <v>3</v>
      </c>
      <c r="C18" s="95" t="s">
        <v>4</v>
      </c>
      <c r="D18" s="96" t="s">
        <v>64</v>
      </c>
      <c r="E18" s="148" t="s">
        <v>6</v>
      </c>
      <c r="F18" s="211" t="s">
        <v>7</v>
      </c>
      <c r="G18" s="212"/>
    </row>
    <row r="19" spans="1:7" ht="24.95" customHeight="1" thickTop="1" x14ac:dyDescent="0.3">
      <c r="A19" s="223" t="s">
        <v>53</v>
      </c>
      <c r="B19" s="225"/>
      <c r="C19" s="225"/>
      <c r="D19" s="124"/>
      <c r="E19" s="126"/>
      <c r="F19" s="166"/>
      <c r="G19" s="167"/>
    </row>
    <row r="20" spans="1:7" ht="24.95" customHeight="1" x14ac:dyDescent="0.3">
      <c r="A20" s="222"/>
      <c r="B20" s="224"/>
      <c r="C20" s="224"/>
      <c r="D20" s="155"/>
      <c r="E20" s="153"/>
      <c r="F20" s="154"/>
      <c r="G20" s="158"/>
    </row>
    <row r="21" spans="1:7" ht="24.95" customHeight="1" x14ac:dyDescent="0.3">
      <c r="A21" s="222"/>
      <c r="B21" s="224"/>
      <c r="C21" s="224"/>
      <c r="D21" s="155"/>
      <c r="E21" s="153"/>
      <c r="F21" s="154"/>
      <c r="G21" s="158"/>
    </row>
    <row r="22" spans="1:7" ht="24.95" customHeight="1" x14ac:dyDescent="0.3">
      <c r="A22" s="159">
        <f>SUM(D19:D22)</f>
        <v>0</v>
      </c>
      <c r="B22" s="224"/>
      <c r="C22" s="224"/>
      <c r="D22" s="155"/>
      <c r="E22" s="153"/>
      <c r="F22" s="154"/>
      <c r="G22" s="158"/>
    </row>
    <row r="23" spans="1:7" ht="24.95" customHeight="1" x14ac:dyDescent="0.3">
      <c r="A23" s="222" t="s">
        <v>54</v>
      </c>
      <c r="B23" s="54"/>
      <c r="C23" s="54"/>
      <c r="D23" s="54"/>
      <c r="E23" s="153"/>
      <c r="F23" s="154"/>
      <c r="G23" s="158"/>
    </row>
    <row r="24" spans="1:7" ht="24.95" customHeight="1" x14ac:dyDescent="0.3">
      <c r="A24" s="222"/>
      <c r="B24" s="54"/>
      <c r="C24" s="54"/>
      <c r="D24" s="54"/>
      <c r="E24" s="153"/>
      <c r="F24" s="154"/>
      <c r="G24" s="158"/>
    </row>
    <row r="25" spans="1:7" ht="24.95" customHeight="1" x14ac:dyDescent="0.3">
      <c r="A25" s="159">
        <f>SUM(D23:D25)</f>
        <v>0</v>
      </c>
      <c r="B25" s="54"/>
      <c r="C25" s="54"/>
      <c r="D25" s="54"/>
      <c r="E25" s="153"/>
      <c r="F25" s="154"/>
      <c r="G25" s="158"/>
    </row>
    <row r="26" spans="1:7" ht="24.95" customHeight="1" x14ac:dyDescent="0.3">
      <c r="A26" s="160" t="s">
        <v>55</v>
      </c>
      <c r="B26" s="224"/>
      <c r="C26" s="224"/>
      <c r="D26" s="224"/>
      <c r="E26" s="233"/>
      <c r="F26" s="156"/>
      <c r="G26" s="161"/>
    </row>
    <row r="27" spans="1:7" ht="24.95" customHeight="1" x14ac:dyDescent="0.3">
      <c r="A27" s="160">
        <f>SUM(D26:D27)</f>
        <v>0</v>
      </c>
      <c r="B27" s="224"/>
      <c r="C27" s="224"/>
      <c r="D27" s="224"/>
      <c r="E27" s="233"/>
      <c r="F27" s="156"/>
      <c r="G27" s="161"/>
    </row>
    <row r="28" spans="1:7" ht="24.95" customHeight="1" x14ac:dyDescent="0.3">
      <c r="A28" s="160" t="s">
        <v>56</v>
      </c>
      <c r="B28" s="224"/>
      <c r="C28" s="224"/>
      <c r="D28" s="224"/>
      <c r="E28" s="230"/>
      <c r="F28" s="154"/>
      <c r="G28" s="158"/>
    </row>
    <row r="29" spans="1:7" ht="24.95" customHeight="1" thickBot="1" x14ac:dyDescent="0.35">
      <c r="A29" s="162">
        <f>SUM(D28:D29)</f>
        <v>0</v>
      </c>
      <c r="B29" s="232"/>
      <c r="C29" s="232"/>
      <c r="D29" s="232"/>
      <c r="E29" s="231"/>
      <c r="F29" s="163"/>
      <c r="G29" s="164"/>
    </row>
    <row r="30" spans="1:7" ht="24.95" customHeight="1" thickBot="1" x14ac:dyDescent="0.35">
      <c r="A30" s="221" t="s">
        <v>66</v>
      </c>
      <c r="B30" s="221"/>
      <c r="C30" s="3"/>
      <c r="D30" s="4"/>
      <c r="E30" s="4"/>
      <c r="F30" s="5"/>
      <c r="G30" s="21"/>
    </row>
    <row r="31" spans="1:7" ht="24.95" customHeight="1" x14ac:dyDescent="0.3">
      <c r="A31" s="226" t="s">
        <v>13</v>
      </c>
      <c r="B31" s="228" t="s">
        <v>67</v>
      </c>
      <c r="C31" s="228" t="s">
        <v>8</v>
      </c>
      <c r="D31" s="213" t="s">
        <v>78</v>
      </c>
      <c r="E31" s="213" t="s">
        <v>79</v>
      </c>
      <c r="F31" s="140" t="s">
        <v>118</v>
      </c>
      <c r="G31" s="168">
        <f>SUM(G33:G37)</f>
        <v>0</v>
      </c>
    </row>
    <row r="32" spans="1:7" ht="24.95" customHeight="1" thickBot="1" x14ac:dyDescent="0.35">
      <c r="A32" s="227"/>
      <c r="B32" s="229"/>
      <c r="C32" s="229"/>
      <c r="D32" s="214"/>
      <c r="E32" s="214"/>
      <c r="F32" s="103" t="s">
        <v>133</v>
      </c>
      <c r="G32" s="173">
        <f>SUM(G33:G36)</f>
        <v>0</v>
      </c>
    </row>
    <row r="33" spans="1:7" ht="24.95" customHeight="1" thickTop="1" x14ac:dyDescent="0.3">
      <c r="A33" s="215">
        <f>B17</f>
        <v>0</v>
      </c>
      <c r="B33" s="218">
        <f>G31</f>
        <v>0</v>
      </c>
      <c r="C33" s="218"/>
      <c r="D33" s="218">
        <f>A33-C33</f>
        <v>0</v>
      </c>
      <c r="E33" s="218">
        <f>B33-C33</f>
        <v>0</v>
      </c>
      <c r="F33" s="126" t="s">
        <v>115</v>
      </c>
      <c r="G33" s="172"/>
    </row>
    <row r="34" spans="1:7" ht="24.95" customHeight="1" x14ac:dyDescent="0.3">
      <c r="A34" s="216"/>
      <c r="B34" s="219"/>
      <c r="C34" s="219"/>
      <c r="D34" s="219"/>
      <c r="E34" s="219"/>
      <c r="F34" s="153" t="s">
        <v>16</v>
      </c>
      <c r="G34" s="169"/>
    </row>
    <row r="35" spans="1:7" ht="24.95" customHeight="1" x14ac:dyDescent="0.3">
      <c r="A35" s="216"/>
      <c r="B35" s="219"/>
      <c r="C35" s="219"/>
      <c r="D35" s="219"/>
      <c r="E35" s="219"/>
      <c r="F35" s="153" t="s">
        <v>17</v>
      </c>
      <c r="G35" s="169"/>
    </row>
    <row r="36" spans="1:7" ht="24.95" customHeight="1" x14ac:dyDescent="0.3">
      <c r="A36" s="216"/>
      <c r="B36" s="219"/>
      <c r="C36" s="219"/>
      <c r="D36" s="219"/>
      <c r="E36" s="219"/>
      <c r="F36" s="153" t="s">
        <v>116</v>
      </c>
      <c r="G36" s="169">
        <v>0</v>
      </c>
    </row>
    <row r="37" spans="1:7" ht="24.95" customHeight="1" thickBot="1" x14ac:dyDescent="0.35">
      <c r="A37" s="217"/>
      <c r="B37" s="220"/>
      <c r="C37" s="220"/>
      <c r="D37" s="220"/>
      <c r="E37" s="220"/>
      <c r="F37" s="170" t="s">
        <v>117</v>
      </c>
      <c r="G37" s="171">
        <v>0</v>
      </c>
    </row>
  </sheetData>
  <mergeCells count="38">
    <mergeCell ref="B13:B14"/>
    <mergeCell ref="C13:C14"/>
    <mergeCell ref="C1:E1"/>
    <mergeCell ref="A2:F2"/>
    <mergeCell ref="A3:B3"/>
    <mergeCell ref="F1:G1"/>
    <mergeCell ref="B11:B12"/>
    <mergeCell ref="C11:C12"/>
    <mergeCell ref="E13:E14"/>
    <mergeCell ref="D13:D14"/>
    <mergeCell ref="F18:G18"/>
    <mergeCell ref="C26:C27"/>
    <mergeCell ref="C19:C20"/>
    <mergeCell ref="C21:C22"/>
    <mergeCell ref="E26:E27"/>
    <mergeCell ref="D26:D27"/>
    <mergeCell ref="D31:D32"/>
    <mergeCell ref="B26:B27"/>
    <mergeCell ref="E28:E29"/>
    <mergeCell ref="D28:D29"/>
    <mergeCell ref="C28:C29"/>
    <mergeCell ref="B28:B29"/>
    <mergeCell ref="F6:G6"/>
    <mergeCell ref="E31:E32"/>
    <mergeCell ref="A33:A37"/>
    <mergeCell ref="B33:B37"/>
    <mergeCell ref="C33:C37"/>
    <mergeCell ref="D33:D37"/>
    <mergeCell ref="E33:E37"/>
    <mergeCell ref="A15:B15"/>
    <mergeCell ref="A23:A24"/>
    <mergeCell ref="A19:A21"/>
    <mergeCell ref="B21:B22"/>
    <mergeCell ref="B19:B20"/>
    <mergeCell ref="A30:B30"/>
    <mergeCell ref="A31:A32"/>
    <mergeCell ref="B31:B32"/>
    <mergeCell ref="C31:C32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opLeftCell="A11" zoomScaleNormal="100" workbookViewId="0">
      <selection activeCell="G35" sqref="G35"/>
    </sheetView>
  </sheetViews>
  <sheetFormatPr defaultRowHeight="24.95" customHeight="1" x14ac:dyDescent="0.3"/>
  <cols>
    <col min="1" max="1" width="14.875" style="1" customWidth="1"/>
    <col min="2" max="2" width="14.5" style="1" customWidth="1"/>
    <col min="3" max="3" width="14" style="1" customWidth="1"/>
    <col min="4" max="4" width="14.5" style="2" customWidth="1"/>
    <col min="5" max="5" width="15.375" style="1" customWidth="1"/>
    <col min="6" max="6" width="15" style="1" customWidth="1"/>
    <col min="7" max="7" width="19" style="1" customWidth="1"/>
    <col min="8" max="16384" width="9" style="1"/>
  </cols>
  <sheetData>
    <row r="1" spans="1:7" ht="24.95" customHeight="1" x14ac:dyDescent="0.25">
      <c r="A1" s="10"/>
      <c r="B1" s="55"/>
      <c r="C1" s="234" t="s">
        <v>128</v>
      </c>
      <c r="D1" s="234"/>
      <c r="E1" s="234"/>
      <c r="F1" s="80" t="s">
        <v>127</v>
      </c>
    </row>
    <row r="2" spans="1:7" ht="24.95" customHeight="1" x14ac:dyDescent="0.3">
      <c r="A2" s="221" t="s">
        <v>80</v>
      </c>
      <c r="B2" s="221"/>
      <c r="C2" s="221"/>
      <c r="D2" s="221"/>
      <c r="E2" s="221"/>
      <c r="F2" s="221"/>
    </row>
    <row r="3" spans="1:7" ht="24.95" customHeight="1" x14ac:dyDescent="0.3">
      <c r="A3" s="221" t="s">
        <v>9</v>
      </c>
      <c r="B3" s="221"/>
      <c r="C3" s="3"/>
      <c r="D3" s="4"/>
      <c r="E3" s="5"/>
      <c r="F3" s="5"/>
    </row>
    <row r="4" spans="1:7" ht="24.95" customHeight="1" x14ac:dyDescent="0.3">
      <c r="A4" s="57" t="s">
        <v>59</v>
      </c>
      <c r="B4" s="56">
        <f>SUM(C7:C17)</f>
        <v>0</v>
      </c>
      <c r="C4" s="3"/>
      <c r="D4" s="4"/>
      <c r="E4" s="5"/>
      <c r="F4" s="5"/>
    </row>
    <row r="5" spans="1:7" ht="24.95" customHeight="1" thickBot="1" x14ac:dyDescent="0.35">
      <c r="A5" s="57" t="s">
        <v>60</v>
      </c>
      <c r="B5" s="56">
        <f>SUM(A8,A13,A15,A17)</f>
        <v>0</v>
      </c>
      <c r="C5" s="3"/>
      <c r="D5" s="4"/>
      <c r="E5" s="5"/>
      <c r="F5" s="5"/>
    </row>
    <row r="6" spans="1:7" ht="24.95" customHeight="1" thickBot="1" x14ac:dyDescent="0.35">
      <c r="A6" s="94" t="s">
        <v>2</v>
      </c>
      <c r="B6" s="95" t="s">
        <v>3</v>
      </c>
      <c r="C6" s="95" t="s">
        <v>4</v>
      </c>
      <c r="D6" s="96" t="s">
        <v>5</v>
      </c>
      <c r="E6" s="148" t="s">
        <v>6</v>
      </c>
      <c r="F6" s="211" t="s">
        <v>7</v>
      </c>
      <c r="G6" s="212"/>
    </row>
    <row r="7" spans="1:7" ht="24.95" customHeight="1" thickTop="1" x14ac:dyDescent="0.3">
      <c r="A7" s="165" t="s">
        <v>77</v>
      </c>
      <c r="B7" s="125"/>
      <c r="C7" s="125"/>
      <c r="D7" s="125"/>
      <c r="E7" s="127"/>
      <c r="F7" s="182"/>
      <c r="G7" s="183"/>
    </row>
    <row r="8" spans="1:7" ht="24.95" customHeight="1" x14ac:dyDescent="0.3">
      <c r="A8" s="159">
        <f>SUM(D7:D8)</f>
        <v>0</v>
      </c>
      <c r="B8" s="54"/>
      <c r="C8" s="54"/>
      <c r="D8" s="54"/>
      <c r="E8" s="174"/>
      <c r="F8" s="175"/>
      <c r="G8" s="178"/>
    </row>
    <row r="9" spans="1:7" ht="24.95" customHeight="1" x14ac:dyDescent="0.3">
      <c r="A9" s="222" t="s">
        <v>54</v>
      </c>
      <c r="B9" s="224"/>
      <c r="C9" s="224"/>
      <c r="D9" s="54"/>
      <c r="E9" s="174"/>
      <c r="F9" s="175"/>
      <c r="G9" s="178"/>
    </row>
    <row r="10" spans="1:7" ht="24.95" customHeight="1" x14ac:dyDescent="0.3">
      <c r="A10" s="222"/>
      <c r="B10" s="224"/>
      <c r="C10" s="224"/>
      <c r="D10" s="155"/>
      <c r="E10" s="174"/>
      <c r="F10" s="175"/>
      <c r="G10" s="178"/>
    </row>
    <row r="11" spans="1:7" ht="24.95" customHeight="1" x14ac:dyDescent="0.3">
      <c r="A11" s="222"/>
      <c r="B11" s="54"/>
      <c r="C11" s="54"/>
      <c r="D11" s="54"/>
      <c r="E11" s="174"/>
      <c r="F11" s="175"/>
      <c r="G11" s="178"/>
    </row>
    <row r="12" spans="1:7" ht="24.95" customHeight="1" x14ac:dyDescent="0.3">
      <c r="A12" s="222"/>
      <c r="B12" s="54"/>
      <c r="C12" s="54"/>
      <c r="D12" s="54"/>
      <c r="E12" s="174"/>
      <c r="F12" s="175"/>
      <c r="G12" s="178"/>
    </row>
    <row r="13" spans="1:7" ht="24.95" customHeight="1" x14ac:dyDescent="0.3">
      <c r="A13" s="159">
        <f>SUM(D9:D13)</f>
        <v>0</v>
      </c>
      <c r="B13" s="54"/>
      <c r="C13" s="54"/>
      <c r="D13" s="54"/>
      <c r="E13" s="174"/>
      <c r="F13" s="176"/>
      <c r="G13" s="179"/>
    </row>
    <row r="14" spans="1:7" ht="24.95" customHeight="1" x14ac:dyDescent="0.3">
      <c r="A14" s="160" t="s">
        <v>55</v>
      </c>
      <c r="B14" s="224"/>
      <c r="C14" s="224"/>
      <c r="D14" s="155"/>
      <c r="E14" s="177"/>
      <c r="F14" s="156"/>
      <c r="G14" s="161"/>
    </row>
    <row r="15" spans="1:7" ht="24.95" customHeight="1" x14ac:dyDescent="0.3">
      <c r="A15" s="160">
        <f>SUM(D14:D15)</f>
        <v>0</v>
      </c>
      <c r="B15" s="224"/>
      <c r="C15" s="224"/>
      <c r="D15" s="155"/>
      <c r="E15" s="177"/>
      <c r="F15" s="156"/>
      <c r="G15" s="161"/>
    </row>
    <row r="16" spans="1:7" ht="24.95" customHeight="1" x14ac:dyDescent="0.3">
      <c r="A16" s="160" t="s">
        <v>56</v>
      </c>
      <c r="B16" s="54"/>
      <c r="C16" s="54"/>
      <c r="D16" s="54"/>
      <c r="E16" s="174"/>
      <c r="F16" s="154"/>
      <c r="G16" s="158"/>
    </row>
    <row r="17" spans="1:7" ht="24.95" customHeight="1" thickBot="1" x14ac:dyDescent="0.35">
      <c r="A17" s="162">
        <f>SUM(D16:D17)</f>
        <v>0</v>
      </c>
      <c r="B17" s="180"/>
      <c r="C17" s="180"/>
      <c r="D17" s="180"/>
      <c r="E17" s="181"/>
      <c r="F17" s="163"/>
      <c r="G17" s="164"/>
    </row>
    <row r="18" spans="1:7" ht="24.95" customHeight="1" x14ac:dyDescent="0.3">
      <c r="A18" s="221" t="s">
        <v>65</v>
      </c>
      <c r="B18" s="221"/>
      <c r="C18" s="3"/>
      <c r="D18" s="4"/>
      <c r="E18" s="5"/>
      <c r="F18" s="5"/>
    </row>
    <row r="19" spans="1:7" ht="24.95" customHeight="1" x14ac:dyDescent="0.3">
      <c r="A19" s="57" t="s">
        <v>62</v>
      </c>
      <c r="B19" s="9">
        <f>SUM(C22:C31)</f>
        <v>0</v>
      </c>
      <c r="C19" s="3"/>
      <c r="D19" s="4"/>
      <c r="E19" s="5"/>
      <c r="F19" s="5"/>
    </row>
    <row r="20" spans="1:7" ht="24.95" customHeight="1" thickBot="1" x14ac:dyDescent="0.35">
      <c r="A20" s="57" t="s">
        <v>63</v>
      </c>
      <c r="B20" s="9">
        <f>SUM(A23,A26,A29,A31)</f>
        <v>0</v>
      </c>
      <c r="C20" s="3"/>
      <c r="D20" s="4"/>
      <c r="E20" s="5"/>
      <c r="F20" s="5"/>
    </row>
    <row r="21" spans="1:7" ht="24.95" customHeight="1" thickBot="1" x14ac:dyDescent="0.35">
      <c r="A21" s="94" t="s">
        <v>2</v>
      </c>
      <c r="B21" s="95" t="s">
        <v>3</v>
      </c>
      <c r="C21" s="95" t="s">
        <v>4</v>
      </c>
      <c r="D21" s="96" t="s">
        <v>64</v>
      </c>
      <c r="E21" s="148" t="s">
        <v>6</v>
      </c>
      <c r="F21" s="211" t="s">
        <v>7</v>
      </c>
      <c r="G21" s="212"/>
    </row>
    <row r="22" spans="1:7" ht="24.95" customHeight="1" thickTop="1" x14ac:dyDescent="0.3">
      <c r="A22" s="165" t="s">
        <v>83</v>
      </c>
      <c r="B22" s="125"/>
      <c r="C22" s="125"/>
      <c r="D22" s="125"/>
      <c r="E22" s="127"/>
      <c r="F22" s="166"/>
      <c r="G22" s="167"/>
    </row>
    <row r="23" spans="1:7" ht="24.95" customHeight="1" x14ac:dyDescent="0.3">
      <c r="A23" s="159">
        <f>SUM(D22:D23)</f>
        <v>0</v>
      </c>
      <c r="B23" s="54"/>
      <c r="C23" s="54"/>
      <c r="D23" s="54"/>
      <c r="E23" s="174"/>
      <c r="F23" s="154"/>
      <c r="G23" s="158"/>
    </row>
    <row r="24" spans="1:7" ht="24.95" customHeight="1" x14ac:dyDescent="0.3">
      <c r="A24" s="222" t="s">
        <v>54</v>
      </c>
      <c r="B24" s="224"/>
      <c r="C24" s="224"/>
      <c r="D24" s="54"/>
      <c r="E24" s="174"/>
      <c r="F24" s="154"/>
      <c r="G24" s="158"/>
    </row>
    <row r="25" spans="1:7" ht="24.95" customHeight="1" x14ac:dyDescent="0.3">
      <c r="A25" s="222"/>
      <c r="B25" s="224"/>
      <c r="C25" s="224"/>
      <c r="D25" s="54"/>
      <c r="E25" s="174"/>
      <c r="F25" s="154"/>
      <c r="G25" s="158"/>
    </row>
    <row r="26" spans="1:7" ht="24.95" customHeight="1" x14ac:dyDescent="0.3">
      <c r="A26" s="159">
        <f>SUM(D24:D26)</f>
        <v>0</v>
      </c>
      <c r="B26" s="224"/>
      <c r="C26" s="224"/>
      <c r="D26" s="54"/>
      <c r="E26" s="174"/>
      <c r="F26" s="154"/>
      <c r="G26" s="158"/>
    </row>
    <row r="27" spans="1:7" ht="24.95" customHeight="1" x14ac:dyDescent="0.3">
      <c r="A27" s="160" t="s">
        <v>55</v>
      </c>
      <c r="B27" s="224"/>
      <c r="C27" s="224"/>
      <c r="D27" s="155"/>
      <c r="E27" s="177"/>
      <c r="F27" s="90"/>
      <c r="G27" s="184"/>
    </row>
    <row r="28" spans="1:7" ht="24.95" customHeight="1" x14ac:dyDescent="0.3">
      <c r="A28" s="160"/>
      <c r="B28" s="224"/>
      <c r="C28" s="224"/>
      <c r="D28" s="155"/>
      <c r="E28" s="177"/>
      <c r="F28" s="156"/>
      <c r="G28" s="161"/>
    </row>
    <row r="29" spans="1:7" ht="24.95" customHeight="1" x14ac:dyDescent="0.3">
      <c r="A29" s="160">
        <f>SUM(D27:D29)</f>
        <v>0</v>
      </c>
      <c r="B29" s="224"/>
      <c r="C29" s="224"/>
      <c r="D29" s="155"/>
      <c r="E29" s="177"/>
      <c r="F29" s="156"/>
      <c r="G29" s="161"/>
    </row>
    <row r="30" spans="1:7" ht="24.95" customHeight="1" x14ac:dyDescent="0.3">
      <c r="A30" s="160" t="s">
        <v>56</v>
      </c>
      <c r="B30" s="224"/>
      <c r="C30" s="224"/>
      <c r="D30" s="224"/>
      <c r="E30" s="236"/>
      <c r="F30" s="154"/>
      <c r="G30" s="158"/>
    </row>
    <row r="31" spans="1:7" ht="24.95" customHeight="1" thickBot="1" x14ac:dyDescent="0.35">
      <c r="A31" s="162">
        <f>SUM(D30:D31)</f>
        <v>0</v>
      </c>
      <c r="B31" s="232"/>
      <c r="C31" s="232"/>
      <c r="D31" s="232"/>
      <c r="E31" s="237"/>
      <c r="F31" s="163"/>
      <c r="G31" s="164"/>
    </row>
    <row r="32" spans="1:7" ht="24.95" customHeight="1" thickBot="1" x14ac:dyDescent="0.35">
      <c r="A32" s="221" t="s">
        <v>81</v>
      </c>
      <c r="B32" s="221"/>
      <c r="C32" s="3"/>
      <c r="D32" s="4"/>
      <c r="E32" s="4"/>
      <c r="F32" s="5"/>
      <c r="G32" s="21"/>
    </row>
    <row r="33" spans="1:7" ht="24.95" customHeight="1" x14ac:dyDescent="0.3">
      <c r="A33" s="226" t="s">
        <v>13</v>
      </c>
      <c r="B33" s="228" t="s">
        <v>82</v>
      </c>
      <c r="C33" s="228" t="s">
        <v>8</v>
      </c>
      <c r="D33" s="213" t="s">
        <v>78</v>
      </c>
      <c r="E33" s="213" t="s">
        <v>79</v>
      </c>
      <c r="F33" s="140" t="s">
        <v>122</v>
      </c>
      <c r="G33" s="168">
        <f>SUM(G35:G39)</f>
        <v>0</v>
      </c>
    </row>
    <row r="34" spans="1:7" ht="24.95" customHeight="1" thickBot="1" x14ac:dyDescent="0.35">
      <c r="A34" s="227"/>
      <c r="B34" s="229"/>
      <c r="C34" s="229"/>
      <c r="D34" s="214"/>
      <c r="E34" s="214"/>
      <c r="F34" s="185" t="s">
        <v>133</v>
      </c>
      <c r="G34" s="186">
        <f>SUM(G35:G38)</f>
        <v>0</v>
      </c>
    </row>
    <row r="35" spans="1:7" ht="24.95" customHeight="1" thickTop="1" x14ac:dyDescent="0.3">
      <c r="A35" s="215">
        <f>B20</f>
        <v>0</v>
      </c>
      <c r="B35" s="218">
        <f>G33</f>
        <v>0</v>
      </c>
      <c r="C35" s="218"/>
      <c r="D35" s="218">
        <f>A35-C35</f>
        <v>0</v>
      </c>
      <c r="E35" s="218">
        <f>B35-C35</f>
        <v>0</v>
      </c>
      <c r="F35" s="126" t="s">
        <v>28</v>
      </c>
      <c r="G35" s="172"/>
    </row>
    <row r="36" spans="1:7" ht="24.95" customHeight="1" x14ac:dyDescent="0.3">
      <c r="A36" s="216"/>
      <c r="B36" s="219"/>
      <c r="C36" s="219"/>
      <c r="D36" s="219"/>
      <c r="E36" s="219"/>
      <c r="F36" s="153" t="s">
        <v>119</v>
      </c>
      <c r="G36" s="169"/>
    </row>
    <row r="37" spans="1:7" ht="24.95" customHeight="1" x14ac:dyDescent="0.3">
      <c r="A37" s="216"/>
      <c r="B37" s="219"/>
      <c r="C37" s="219"/>
      <c r="D37" s="219"/>
      <c r="E37" s="219"/>
      <c r="F37" s="153" t="s">
        <v>17</v>
      </c>
      <c r="G37" s="169"/>
    </row>
    <row r="38" spans="1:7" ht="24.95" customHeight="1" x14ac:dyDescent="0.3">
      <c r="A38" s="216"/>
      <c r="B38" s="219"/>
      <c r="C38" s="219"/>
      <c r="D38" s="219"/>
      <c r="E38" s="219"/>
      <c r="F38" s="153" t="s">
        <v>120</v>
      </c>
      <c r="G38" s="169"/>
    </row>
    <row r="39" spans="1:7" ht="24.95" customHeight="1" thickBot="1" x14ac:dyDescent="0.35">
      <c r="A39" s="217"/>
      <c r="B39" s="220"/>
      <c r="C39" s="220"/>
      <c r="D39" s="220"/>
      <c r="E39" s="220"/>
      <c r="F39" s="170" t="s">
        <v>121</v>
      </c>
      <c r="G39" s="171">
        <v>0</v>
      </c>
    </row>
  </sheetData>
  <mergeCells count="31">
    <mergeCell ref="B30:B31"/>
    <mergeCell ref="C30:C31"/>
    <mergeCell ref="D30:D31"/>
    <mergeCell ref="C1:E1"/>
    <mergeCell ref="A2:F2"/>
    <mergeCell ref="A3:B3"/>
    <mergeCell ref="B14:B15"/>
    <mergeCell ref="C14:C15"/>
    <mergeCell ref="F6:G6"/>
    <mergeCell ref="C9:C10"/>
    <mergeCell ref="B9:B10"/>
    <mergeCell ref="A18:B18"/>
    <mergeCell ref="A24:A25"/>
    <mergeCell ref="B27:B29"/>
    <mergeCell ref="A9:A12"/>
    <mergeCell ref="E30:E31"/>
    <mergeCell ref="F21:G21"/>
    <mergeCell ref="B24:B26"/>
    <mergeCell ref="C24:C26"/>
    <mergeCell ref="A35:A39"/>
    <mergeCell ref="B35:B39"/>
    <mergeCell ref="C35:C39"/>
    <mergeCell ref="D35:D39"/>
    <mergeCell ref="E35:E39"/>
    <mergeCell ref="D33:D34"/>
    <mergeCell ref="E33:E34"/>
    <mergeCell ref="C27:C29"/>
    <mergeCell ref="A32:B32"/>
    <mergeCell ref="A33:A34"/>
    <mergeCell ref="B33:B34"/>
    <mergeCell ref="C33:C34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84" orientation="portrait" r:id="rId1"/>
  <rowBreaks count="1" manualBreakCount="1">
    <brk id="31" max="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opLeftCell="A25" zoomScaleNormal="100" workbookViewId="0">
      <selection activeCell="L17" sqref="L17"/>
    </sheetView>
  </sheetViews>
  <sheetFormatPr defaultRowHeight="24.95" customHeight="1" x14ac:dyDescent="0.3"/>
  <cols>
    <col min="1" max="1" width="13.875" style="1" customWidth="1"/>
    <col min="2" max="2" width="14.25" style="1" customWidth="1"/>
    <col min="3" max="3" width="14.75" style="1" customWidth="1"/>
    <col min="4" max="4" width="15" style="2" customWidth="1"/>
    <col min="5" max="5" width="17.75" style="1" customWidth="1"/>
    <col min="6" max="6" width="14.75" style="1" customWidth="1"/>
    <col min="7" max="7" width="19.25" style="1" customWidth="1"/>
    <col min="8" max="16384" width="9" style="1"/>
  </cols>
  <sheetData>
    <row r="1" spans="1:7" ht="24.95" customHeight="1" x14ac:dyDescent="0.25">
      <c r="A1" s="10"/>
      <c r="B1" s="55"/>
      <c r="C1" s="234" t="s">
        <v>61</v>
      </c>
      <c r="D1" s="234"/>
      <c r="E1" s="234"/>
      <c r="F1" s="235" t="s">
        <v>58</v>
      </c>
      <c r="G1" s="235"/>
    </row>
    <row r="2" spans="1:7" ht="24.95" customHeight="1" x14ac:dyDescent="0.3">
      <c r="A2" s="221" t="s">
        <v>84</v>
      </c>
      <c r="B2" s="221"/>
      <c r="C2" s="221"/>
      <c r="D2" s="221"/>
      <c r="E2" s="221"/>
      <c r="F2" s="221"/>
    </row>
    <row r="3" spans="1:7" ht="24.95" customHeight="1" x14ac:dyDescent="0.3">
      <c r="A3" s="221" t="s">
        <v>9</v>
      </c>
      <c r="B3" s="221"/>
      <c r="C3" s="3"/>
      <c r="D3" s="4"/>
      <c r="E3" s="5"/>
      <c r="F3" s="5"/>
    </row>
    <row r="4" spans="1:7" ht="24.95" customHeight="1" x14ac:dyDescent="0.3">
      <c r="A4" s="65" t="s">
        <v>59</v>
      </c>
      <c r="B4" s="56">
        <f>SUM(C7:C23)</f>
        <v>0</v>
      </c>
      <c r="C4" s="3"/>
      <c r="D4" s="4"/>
      <c r="E4" s="5"/>
      <c r="F4" s="5"/>
    </row>
    <row r="5" spans="1:7" ht="24.95" customHeight="1" thickBot="1" x14ac:dyDescent="0.35">
      <c r="A5" s="65" t="s">
        <v>60</v>
      </c>
      <c r="B5" s="56">
        <f>SUM(A8,A18,A21,A23)</f>
        <v>0</v>
      </c>
      <c r="C5" s="3"/>
      <c r="D5" s="4"/>
      <c r="E5" s="5"/>
      <c r="F5" s="5"/>
    </row>
    <row r="6" spans="1:7" ht="24.95" customHeight="1" thickBot="1" x14ac:dyDescent="0.35">
      <c r="A6" s="94" t="s">
        <v>2</v>
      </c>
      <c r="B6" s="95" t="s">
        <v>3</v>
      </c>
      <c r="C6" s="95" t="s">
        <v>4</v>
      </c>
      <c r="D6" s="96" t="s">
        <v>5</v>
      </c>
      <c r="E6" s="148" t="s">
        <v>6</v>
      </c>
      <c r="F6" s="211" t="s">
        <v>7</v>
      </c>
      <c r="G6" s="212"/>
    </row>
    <row r="7" spans="1:7" ht="24.95" customHeight="1" thickTop="1" x14ac:dyDescent="0.3">
      <c r="A7" s="139" t="s">
        <v>28</v>
      </c>
      <c r="B7" s="239"/>
      <c r="C7" s="241"/>
      <c r="D7" s="133"/>
      <c r="E7" s="132"/>
      <c r="F7" s="202"/>
      <c r="G7" s="203"/>
    </row>
    <row r="8" spans="1:7" ht="24.95" customHeight="1" x14ac:dyDescent="0.3">
      <c r="A8" s="141">
        <f>SUM(D7:D8)</f>
        <v>0</v>
      </c>
      <c r="B8" s="240"/>
      <c r="C8" s="242"/>
      <c r="D8" s="136"/>
      <c r="E8" s="134"/>
      <c r="F8" s="189"/>
      <c r="G8" s="191"/>
    </row>
    <row r="9" spans="1:7" ht="24.95" customHeight="1" x14ac:dyDescent="0.3">
      <c r="A9" s="243" t="s">
        <v>87</v>
      </c>
      <c r="B9" s="138"/>
      <c r="C9" s="198"/>
      <c r="D9" s="136"/>
      <c r="E9" s="134"/>
      <c r="F9" s="189"/>
      <c r="G9" s="191"/>
    </row>
    <row r="10" spans="1:7" ht="24.95" customHeight="1" x14ac:dyDescent="0.3">
      <c r="A10" s="243"/>
      <c r="B10" s="240"/>
      <c r="C10" s="242"/>
      <c r="D10" s="136"/>
      <c r="E10" s="134"/>
      <c r="F10" s="189"/>
      <c r="G10" s="191"/>
    </row>
    <row r="11" spans="1:7" ht="24.95" customHeight="1" x14ac:dyDescent="0.3">
      <c r="A11" s="243"/>
      <c r="B11" s="240"/>
      <c r="C11" s="242"/>
      <c r="D11" s="136"/>
      <c r="E11" s="134"/>
      <c r="F11" s="189"/>
      <c r="G11" s="191"/>
    </row>
    <row r="12" spans="1:7" ht="24.95" customHeight="1" x14ac:dyDescent="0.3">
      <c r="A12" s="243"/>
      <c r="B12" s="240"/>
      <c r="C12" s="242"/>
      <c r="D12" s="136"/>
      <c r="E12" s="134"/>
      <c r="F12" s="189"/>
      <c r="G12" s="191"/>
    </row>
    <row r="13" spans="1:7" ht="24.95" customHeight="1" x14ac:dyDescent="0.3">
      <c r="A13" s="243"/>
      <c r="B13" s="240"/>
      <c r="C13" s="242"/>
      <c r="D13" s="136"/>
      <c r="E13" s="134"/>
      <c r="F13" s="189"/>
      <c r="G13" s="191"/>
    </row>
    <row r="14" spans="1:7" ht="24.95" customHeight="1" x14ac:dyDescent="0.3">
      <c r="A14" s="243"/>
      <c r="B14" s="240"/>
      <c r="C14" s="242"/>
      <c r="D14" s="136"/>
      <c r="E14" s="134"/>
      <c r="F14" s="189"/>
      <c r="G14" s="191"/>
    </row>
    <row r="15" spans="1:7" ht="24.95" customHeight="1" x14ac:dyDescent="0.3">
      <c r="A15" s="243"/>
      <c r="B15" s="240"/>
      <c r="C15" s="242"/>
      <c r="D15" s="136"/>
      <c r="E15" s="134"/>
      <c r="F15" s="189"/>
      <c r="G15" s="191"/>
    </row>
    <row r="16" spans="1:7" ht="24.95" customHeight="1" x14ac:dyDescent="0.3">
      <c r="A16" s="243"/>
      <c r="B16" s="240"/>
      <c r="C16" s="242"/>
      <c r="D16" s="136"/>
      <c r="E16" s="134"/>
      <c r="F16" s="189"/>
      <c r="G16" s="191"/>
    </row>
    <row r="17" spans="1:7" ht="24.95" customHeight="1" x14ac:dyDescent="0.3">
      <c r="A17" s="243"/>
      <c r="B17" s="138"/>
      <c r="C17" s="198"/>
      <c r="D17" s="136"/>
      <c r="E17" s="134"/>
      <c r="F17" s="199"/>
      <c r="G17" s="201"/>
    </row>
    <row r="18" spans="1:7" ht="24.95" customHeight="1" x14ac:dyDescent="0.3">
      <c r="A18" s="141">
        <f>SUM(D9:D18)</f>
        <v>0</v>
      </c>
      <c r="B18" s="138"/>
      <c r="C18" s="198"/>
      <c r="D18" s="136"/>
      <c r="E18" s="134"/>
      <c r="F18" s="189"/>
      <c r="G18" s="191"/>
    </row>
    <row r="19" spans="1:7" ht="24.95" customHeight="1" x14ac:dyDescent="0.3">
      <c r="A19" s="238" t="s">
        <v>55</v>
      </c>
      <c r="B19" s="137"/>
      <c r="C19" s="188"/>
      <c r="D19" s="137"/>
      <c r="E19" s="135"/>
      <c r="F19" s="90"/>
      <c r="G19" s="184"/>
    </row>
    <row r="20" spans="1:7" ht="24.95" customHeight="1" x14ac:dyDescent="0.3">
      <c r="A20" s="238"/>
      <c r="B20" s="137"/>
      <c r="C20" s="188"/>
      <c r="D20" s="137"/>
      <c r="E20" s="200"/>
      <c r="F20" s="90"/>
      <c r="G20" s="184"/>
    </row>
    <row r="21" spans="1:7" ht="24.95" customHeight="1" x14ac:dyDescent="0.3">
      <c r="A21" s="144">
        <f>SUM(D19:D21)</f>
        <v>0</v>
      </c>
      <c r="B21" s="137"/>
      <c r="C21" s="188"/>
      <c r="D21" s="137"/>
      <c r="E21" s="200"/>
      <c r="F21" s="90"/>
      <c r="G21" s="184"/>
    </row>
    <row r="22" spans="1:7" ht="24.95" customHeight="1" x14ac:dyDescent="0.3">
      <c r="A22" s="144" t="s">
        <v>27</v>
      </c>
      <c r="B22" s="240"/>
      <c r="C22" s="242"/>
      <c r="D22" s="136"/>
      <c r="E22" s="134"/>
      <c r="F22" s="189"/>
      <c r="G22" s="191"/>
    </row>
    <row r="23" spans="1:7" ht="24.95" customHeight="1" thickBot="1" x14ac:dyDescent="0.35">
      <c r="A23" s="142">
        <f>SUM(D22:D23)</f>
        <v>0</v>
      </c>
      <c r="B23" s="244"/>
      <c r="C23" s="245"/>
      <c r="D23" s="151"/>
      <c r="E23" s="194"/>
      <c r="F23" s="195"/>
      <c r="G23" s="196"/>
    </row>
    <row r="24" spans="1:7" ht="24.95" customHeight="1" x14ac:dyDescent="0.3">
      <c r="A24" s="221" t="s">
        <v>65</v>
      </c>
      <c r="B24" s="221"/>
      <c r="C24" s="3"/>
      <c r="D24" s="4"/>
      <c r="E24" s="5"/>
      <c r="F24" s="5"/>
    </row>
    <row r="25" spans="1:7" ht="24.95" customHeight="1" x14ac:dyDescent="0.3">
      <c r="A25" s="65" t="s">
        <v>62</v>
      </c>
      <c r="B25" s="9">
        <f>SUM(C28:C45)</f>
        <v>0</v>
      </c>
      <c r="C25" s="3"/>
      <c r="D25" s="4"/>
      <c r="E25" s="5"/>
      <c r="F25" s="5"/>
    </row>
    <row r="26" spans="1:7" ht="24.95" customHeight="1" thickBot="1" x14ac:dyDescent="0.35">
      <c r="A26" s="65" t="s">
        <v>63</v>
      </c>
      <c r="B26" s="9">
        <f>SUM(A29,A38,A41,A45)</f>
        <v>0</v>
      </c>
      <c r="C26" s="3"/>
      <c r="D26" s="4"/>
      <c r="E26" s="5"/>
      <c r="F26" s="5"/>
    </row>
    <row r="27" spans="1:7" ht="24.95" customHeight="1" thickBot="1" x14ac:dyDescent="0.35">
      <c r="A27" s="94" t="s">
        <v>2</v>
      </c>
      <c r="B27" s="95" t="s">
        <v>3</v>
      </c>
      <c r="C27" s="95" t="s">
        <v>4</v>
      </c>
      <c r="D27" s="96" t="s">
        <v>64</v>
      </c>
      <c r="E27" s="148" t="s">
        <v>6</v>
      </c>
      <c r="F27" s="211" t="s">
        <v>7</v>
      </c>
      <c r="G27" s="212"/>
    </row>
    <row r="28" spans="1:7" ht="24.95" customHeight="1" thickTop="1" x14ac:dyDescent="0.3">
      <c r="A28" s="139" t="s">
        <v>28</v>
      </c>
      <c r="B28" s="130"/>
      <c r="C28" s="81"/>
      <c r="D28" s="130"/>
      <c r="E28" s="131"/>
      <c r="F28" s="67"/>
      <c r="G28" s="197"/>
    </row>
    <row r="29" spans="1:7" ht="24.95" customHeight="1" x14ac:dyDescent="0.3">
      <c r="A29" s="141">
        <f>SUM(D28:D29)</f>
        <v>0</v>
      </c>
      <c r="B29" s="145"/>
      <c r="C29" s="188"/>
      <c r="D29" s="145"/>
      <c r="E29" s="135"/>
      <c r="F29" s="90"/>
      <c r="G29" s="184"/>
    </row>
    <row r="30" spans="1:7" ht="24.95" customHeight="1" x14ac:dyDescent="0.3">
      <c r="A30" s="243" t="s">
        <v>54</v>
      </c>
      <c r="B30" s="240"/>
      <c r="C30" s="263"/>
      <c r="D30" s="145"/>
      <c r="E30" s="134"/>
      <c r="F30" s="189"/>
      <c r="G30" s="191"/>
    </row>
    <row r="31" spans="1:7" ht="24.95" customHeight="1" x14ac:dyDescent="0.3">
      <c r="A31" s="243"/>
      <c r="B31" s="240"/>
      <c r="C31" s="263"/>
      <c r="D31" s="145"/>
      <c r="E31" s="134"/>
      <c r="F31" s="189"/>
      <c r="G31" s="191"/>
    </row>
    <row r="32" spans="1:7" ht="24.95" customHeight="1" x14ac:dyDescent="0.3">
      <c r="A32" s="243"/>
      <c r="B32" s="240"/>
      <c r="C32" s="263"/>
      <c r="D32" s="145"/>
      <c r="E32" s="134"/>
      <c r="F32" s="189"/>
      <c r="G32" s="191"/>
    </row>
    <row r="33" spans="1:7" ht="24.95" customHeight="1" x14ac:dyDescent="0.3">
      <c r="A33" s="243"/>
      <c r="B33" s="240"/>
      <c r="C33" s="263"/>
      <c r="D33" s="145"/>
      <c r="E33" s="134"/>
      <c r="F33" s="189"/>
      <c r="G33" s="191"/>
    </row>
    <row r="34" spans="1:7" ht="24.95" customHeight="1" x14ac:dyDescent="0.3">
      <c r="A34" s="243"/>
      <c r="B34" s="240"/>
      <c r="C34" s="263"/>
      <c r="D34" s="145"/>
      <c r="E34" s="134"/>
      <c r="F34" s="189"/>
      <c r="G34" s="191"/>
    </row>
    <row r="35" spans="1:7" ht="24.95" customHeight="1" x14ac:dyDescent="0.3">
      <c r="A35" s="243"/>
      <c r="B35" s="240"/>
      <c r="C35" s="263"/>
      <c r="D35" s="145"/>
      <c r="E35" s="134"/>
      <c r="F35" s="189"/>
      <c r="G35" s="191"/>
    </row>
    <row r="36" spans="1:7" ht="24.95" customHeight="1" x14ac:dyDescent="0.3">
      <c r="A36" s="243"/>
      <c r="B36" s="240"/>
      <c r="C36" s="263"/>
      <c r="D36" s="145"/>
      <c r="E36" s="134"/>
      <c r="F36" s="189"/>
      <c r="G36" s="191"/>
    </row>
    <row r="37" spans="1:7" ht="24.95" customHeight="1" x14ac:dyDescent="0.3">
      <c r="A37" s="243"/>
      <c r="B37" s="240"/>
      <c r="C37" s="263"/>
      <c r="D37" s="145"/>
      <c r="E37" s="134"/>
      <c r="F37" s="189"/>
      <c r="G37" s="191"/>
    </row>
    <row r="38" spans="1:7" ht="24.95" customHeight="1" x14ac:dyDescent="0.3">
      <c r="A38" s="141">
        <f>SUM(D30:D38)</f>
        <v>0</v>
      </c>
      <c r="B38" s="137"/>
      <c r="C38" s="188"/>
      <c r="D38" s="145"/>
      <c r="E38" s="134"/>
      <c r="F38" s="189"/>
      <c r="G38" s="191"/>
    </row>
    <row r="39" spans="1:7" ht="24.95" customHeight="1" x14ac:dyDescent="0.3">
      <c r="A39" s="144" t="s">
        <v>55</v>
      </c>
      <c r="B39" s="240"/>
      <c r="C39" s="249"/>
      <c r="D39" s="145"/>
      <c r="E39" s="134"/>
      <c r="F39" s="189"/>
      <c r="G39" s="191"/>
    </row>
    <row r="40" spans="1:7" ht="24.95" customHeight="1" x14ac:dyDescent="0.3">
      <c r="A40" s="144"/>
      <c r="B40" s="240"/>
      <c r="C40" s="249"/>
      <c r="D40" s="145"/>
      <c r="E40" s="134"/>
      <c r="F40" s="189"/>
      <c r="G40" s="191"/>
    </row>
    <row r="41" spans="1:7" ht="24.95" customHeight="1" x14ac:dyDescent="0.3">
      <c r="A41" s="144">
        <f>SUM(D39:D41)</f>
        <v>0</v>
      </c>
      <c r="B41" s="137"/>
      <c r="C41" s="188"/>
      <c r="D41" s="145"/>
      <c r="E41" s="135"/>
      <c r="F41" s="190"/>
      <c r="G41" s="192"/>
    </row>
    <row r="42" spans="1:7" ht="24.95" customHeight="1" x14ac:dyDescent="0.3">
      <c r="A42" s="238" t="s">
        <v>129</v>
      </c>
      <c r="B42" s="247"/>
      <c r="C42" s="249"/>
      <c r="D42" s="145"/>
      <c r="E42" s="134"/>
      <c r="F42" s="189"/>
      <c r="G42" s="191"/>
    </row>
    <row r="43" spans="1:7" ht="24.95" customHeight="1" x14ac:dyDescent="0.3">
      <c r="A43" s="238"/>
      <c r="B43" s="247"/>
      <c r="C43" s="249"/>
      <c r="D43" s="145"/>
      <c r="E43" s="134"/>
      <c r="F43" s="189"/>
      <c r="G43" s="191"/>
    </row>
    <row r="44" spans="1:7" ht="24.95" customHeight="1" x14ac:dyDescent="0.3">
      <c r="A44" s="238"/>
      <c r="B44" s="247"/>
      <c r="C44" s="249"/>
      <c r="D44" s="145"/>
      <c r="E44" s="134"/>
      <c r="F44" s="189"/>
      <c r="G44" s="191"/>
    </row>
    <row r="45" spans="1:7" ht="24.95" customHeight="1" thickBot="1" x14ac:dyDescent="0.35">
      <c r="A45" s="142">
        <f>SUM(D42:D45)</f>
        <v>0</v>
      </c>
      <c r="B45" s="143"/>
      <c r="C45" s="193"/>
      <c r="D45" s="146"/>
      <c r="E45" s="194"/>
      <c r="F45" s="195"/>
      <c r="G45" s="196"/>
    </row>
    <row r="46" spans="1:7" ht="24.95" customHeight="1" thickBot="1" x14ac:dyDescent="0.35">
      <c r="A46" s="252" t="s">
        <v>85</v>
      </c>
      <c r="B46" s="252"/>
      <c r="C46" s="68"/>
      <c r="D46" s="69"/>
      <c r="E46" s="69"/>
      <c r="F46" s="70"/>
      <c r="G46" s="21"/>
    </row>
    <row r="47" spans="1:7" ht="24.95" customHeight="1" x14ac:dyDescent="0.3">
      <c r="A47" s="253" t="s">
        <v>13</v>
      </c>
      <c r="B47" s="255" t="s">
        <v>86</v>
      </c>
      <c r="C47" s="255" t="s">
        <v>8</v>
      </c>
      <c r="D47" s="250" t="s">
        <v>78</v>
      </c>
      <c r="E47" s="250" t="s">
        <v>79</v>
      </c>
      <c r="F47" s="100" t="s">
        <v>91</v>
      </c>
      <c r="G47" s="168">
        <f>SUM(G49:G53)</f>
        <v>0</v>
      </c>
    </row>
    <row r="48" spans="1:7" ht="24.95" customHeight="1" thickBot="1" x14ac:dyDescent="0.35">
      <c r="A48" s="254"/>
      <c r="B48" s="256"/>
      <c r="C48" s="256"/>
      <c r="D48" s="251"/>
      <c r="E48" s="251"/>
      <c r="F48" s="103" t="s">
        <v>130</v>
      </c>
      <c r="G48" s="187">
        <f>SUM(G49:G52)</f>
        <v>0</v>
      </c>
    </row>
    <row r="49" spans="1:7" ht="24.95" customHeight="1" thickTop="1" x14ac:dyDescent="0.3">
      <c r="A49" s="257">
        <f>B26</f>
        <v>0</v>
      </c>
      <c r="B49" s="260">
        <f>G47</f>
        <v>0</v>
      </c>
      <c r="C49" s="246"/>
      <c r="D49" s="260">
        <f>A49-C49</f>
        <v>0</v>
      </c>
      <c r="E49" s="246">
        <f>B49-C49</f>
        <v>0</v>
      </c>
      <c r="F49" s="128" t="s">
        <v>123</v>
      </c>
      <c r="G49" s="172"/>
    </row>
    <row r="50" spans="1:7" ht="24.95" customHeight="1" x14ac:dyDescent="0.3">
      <c r="A50" s="258"/>
      <c r="B50" s="261"/>
      <c r="C50" s="247"/>
      <c r="D50" s="261"/>
      <c r="E50" s="247"/>
      <c r="F50" s="138" t="s">
        <v>124</v>
      </c>
      <c r="G50" s="169"/>
    </row>
    <row r="51" spans="1:7" ht="24.95" customHeight="1" x14ac:dyDescent="0.3">
      <c r="A51" s="258"/>
      <c r="B51" s="261"/>
      <c r="C51" s="247"/>
      <c r="D51" s="261"/>
      <c r="E51" s="247"/>
      <c r="F51" s="138" t="s">
        <v>17</v>
      </c>
      <c r="G51" s="169"/>
    </row>
    <row r="52" spans="1:7" ht="24.95" customHeight="1" x14ac:dyDescent="0.3">
      <c r="A52" s="258"/>
      <c r="B52" s="261"/>
      <c r="C52" s="247"/>
      <c r="D52" s="261"/>
      <c r="E52" s="247"/>
      <c r="F52" s="138" t="s">
        <v>125</v>
      </c>
      <c r="G52" s="169"/>
    </row>
    <row r="53" spans="1:7" ht="24.95" customHeight="1" thickBot="1" x14ac:dyDescent="0.35">
      <c r="A53" s="259"/>
      <c r="B53" s="262"/>
      <c r="C53" s="248"/>
      <c r="D53" s="262"/>
      <c r="E53" s="248"/>
      <c r="F53" s="102" t="s">
        <v>68</v>
      </c>
      <c r="G53" s="171"/>
    </row>
  </sheetData>
  <mergeCells count="34">
    <mergeCell ref="F27:G27"/>
    <mergeCell ref="A30:A37"/>
    <mergeCell ref="F1:G1"/>
    <mergeCell ref="F6:G6"/>
    <mergeCell ref="D49:D53"/>
    <mergeCell ref="C30:C37"/>
    <mergeCell ref="B30:B37"/>
    <mergeCell ref="B39:B40"/>
    <mergeCell ref="C39:C40"/>
    <mergeCell ref="B22:B23"/>
    <mergeCell ref="C22:C23"/>
    <mergeCell ref="E49:E53"/>
    <mergeCell ref="A42:A44"/>
    <mergeCell ref="B42:B44"/>
    <mergeCell ref="C42:C44"/>
    <mergeCell ref="E47:E48"/>
    <mergeCell ref="A46:B46"/>
    <mergeCell ref="A47:A48"/>
    <mergeCell ref="B47:B48"/>
    <mergeCell ref="C47:C48"/>
    <mergeCell ref="D47:D48"/>
    <mergeCell ref="A24:B24"/>
    <mergeCell ref="A49:A53"/>
    <mergeCell ref="B49:B53"/>
    <mergeCell ref="C49:C53"/>
    <mergeCell ref="C1:E1"/>
    <mergeCell ref="A2:F2"/>
    <mergeCell ref="A3:B3"/>
    <mergeCell ref="A19:A20"/>
    <mergeCell ref="B7:B8"/>
    <mergeCell ref="C7:C8"/>
    <mergeCell ref="A9:A17"/>
    <mergeCell ref="B10:B16"/>
    <mergeCell ref="C10:C16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77" orientation="portrait" r:id="rId1"/>
  <rowBreaks count="1" manualBreakCount="1">
    <brk id="29" max="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5"/>
  <sheetViews>
    <sheetView topLeftCell="A17" zoomScaleNormal="100" workbookViewId="0">
      <selection activeCell="J44" sqref="J44"/>
    </sheetView>
  </sheetViews>
  <sheetFormatPr defaultRowHeight="24.95" customHeight="1" x14ac:dyDescent="0.3"/>
  <cols>
    <col min="1" max="2" width="14.875" style="1" customWidth="1"/>
    <col min="3" max="3" width="13" style="1" customWidth="1"/>
    <col min="4" max="4" width="14.25" style="2" customWidth="1"/>
    <col min="5" max="5" width="17.625" style="1" customWidth="1"/>
    <col min="6" max="6" width="16.875" style="1" customWidth="1"/>
    <col min="7" max="7" width="17.625" style="1" customWidth="1"/>
    <col min="8" max="16384" width="9" style="1"/>
  </cols>
  <sheetData>
    <row r="1" spans="1:7" ht="24.95" customHeight="1" x14ac:dyDescent="0.25">
      <c r="A1" s="10"/>
      <c r="B1" s="55"/>
      <c r="C1" s="234" t="s">
        <v>61</v>
      </c>
      <c r="D1" s="234"/>
      <c r="E1" s="234"/>
      <c r="F1" s="235" t="s">
        <v>58</v>
      </c>
      <c r="G1" s="235"/>
    </row>
    <row r="2" spans="1:7" ht="24.95" customHeight="1" x14ac:dyDescent="0.3">
      <c r="A2" s="221" t="s">
        <v>88</v>
      </c>
      <c r="B2" s="221"/>
      <c r="C2" s="221"/>
      <c r="D2" s="221"/>
      <c r="E2" s="221"/>
      <c r="F2" s="221"/>
    </row>
    <row r="3" spans="1:7" ht="24.95" customHeight="1" x14ac:dyDescent="0.3">
      <c r="A3" s="221" t="s">
        <v>9</v>
      </c>
      <c r="B3" s="221"/>
      <c r="C3" s="3"/>
      <c r="D3" s="4"/>
      <c r="E3" s="5"/>
      <c r="F3" s="5"/>
    </row>
    <row r="4" spans="1:7" ht="24.95" customHeight="1" x14ac:dyDescent="0.3">
      <c r="A4" s="66" t="s">
        <v>59</v>
      </c>
      <c r="B4" s="56">
        <f>SUM(C7:C18)</f>
        <v>0</v>
      </c>
      <c r="C4" s="3"/>
      <c r="D4" s="4"/>
      <c r="E4" s="5"/>
      <c r="F4" s="5"/>
    </row>
    <row r="5" spans="1:7" ht="24.95" customHeight="1" thickBot="1" x14ac:dyDescent="0.35">
      <c r="A5" s="66" t="s">
        <v>60</v>
      </c>
      <c r="B5" s="56">
        <f>SUM(A9,A14,A16,A18)</f>
        <v>0</v>
      </c>
      <c r="C5" s="3"/>
      <c r="D5" s="4"/>
      <c r="E5" s="5"/>
      <c r="F5" s="5"/>
    </row>
    <row r="6" spans="1:7" ht="24.95" customHeight="1" thickBot="1" x14ac:dyDescent="0.35">
      <c r="A6" s="94" t="s">
        <v>2</v>
      </c>
      <c r="B6" s="95" t="s">
        <v>3</v>
      </c>
      <c r="C6" s="95" t="s">
        <v>4</v>
      </c>
      <c r="D6" s="96" t="s">
        <v>5</v>
      </c>
      <c r="E6" s="148" t="s">
        <v>6</v>
      </c>
      <c r="F6" s="211" t="s">
        <v>132</v>
      </c>
      <c r="G6" s="212"/>
    </row>
    <row r="7" spans="1:7" ht="24.95" customHeight="1" thickTop="1" x14ac:dyDescent="0.3">
      <c r="A7" s="268" t="s">
        <v>131</v>
      </c>
      <c r="B7" s="246"/>
      <c r="C7" s="246"/>
      <c r="D7" s="129"/>
      <c r="E7" s="67"/>
      <c r="F7" s="67"/>
      <c r="G7" s="197"/>
    </row>
    <row r="8" spans="1:7" ht="24.95" customHeight="1" x14ac:dyDescent="0.3">
      <c r="A8" s="243"/>
      <c r="B8" s="247"/>
      <c r="C8" s="247"/>
      <c r="D8" s="137"/>
      <c r="E8" s="90"/>
      <c r="F8" s="90"/>
      <c r="G8" s="184"/>
    </row>
    <row r="9" spans="1:7" ht="24.95" customHeight="1" x14ac:dyDescent="0.3">
      <c r="A9" s="141">
        <f>SUM(D7:D9)</f>
        <v>0</v>
      </c>
      <c r="B9" s="247"/>
      <c r="C9" s="247"/>
      <c r="D9" s="145"/>
      <c r="E9" s="90"/>
      <c r="F9" s="90"/>
      <c r="G9" s="184"/>
    </row>
    <row r="10" spans="1:7" ht="24.95" customHeight="1" x14ac:dyDescent="0.3">
      <c r="A10" s="243" t="s">
        <v>87</v>
      </c>
      <c r="B10" s="137"/>
      <c r="C10" s="137"/>
      <c r="D10" s="137"/>
      <c r="E10" s="90"/>
      <c r="F10" s="90"/>
      <c r="G10" s="184"/>
    </row>
    <row r="11" spans="1:7" ht="24.95" customHeight="1" x14ac:dyDescent="0.3">
      <c r="A11" s="243"/>
      <c r="B11" s="247"/>
      <c r="C11" s="247"/>
      <c r="D11" s="137"/>
      <c r="E11" s="90"/>
      <c r="F11" s="90"/>
      <c r="G11" s="184"/>
    </row>
    <row r="12" spans="1:7" ht="24.95" customHeight="1" x14ac:dyDescent="0.3">
      <c r="A12" s="243"/>
      <c r="B12" s="247"/>
      <c r="C12" s="247"/>
      <c r="D12" s="137"/>
      <c r="E12" s="90"/>
      <c r="F12" s="90"/>
      <c r="G12" s="184"/>
    </row>
    <row r="13" spans="1:7" ht="24.95" customHeight="1" x14ac:dyDescent="0.3">
      <c r="A13" s="243"/>
      <c r="B13" s="247"/>
      <c r="C13" s="247"/>
      <c r="D13" s="137"/>
      <c r="E13" s="90"/>
      <c r="F13" s="90"/>
      <c r="G13" s="184"/>
    </row>
    <row r="14" spans="1:7" ht="24.95" customHeight="1" x14ac:dyDescent="0.3">
      <c r="A14" s="141">
        <f>SUM(D10:D14)</f>
        <v>0</v>
      </c>
      <c r="B14" s="247"/>
      <c r="C14" s="247"/>
      <c r="D14" s="145"/>
      <c r="E14" s="189"/>
      <c r="F14" s="189"/>
      <c r="G14" s="191"/>
    </row>
    <row r="15" spans="1:7" ht="24.95" customHeight="1" x14ac:dyDescent="0.3">
      <c r="A15" s="144" t="s">
        <v>55</v>
      </c>
      <c r="B15" s="247"/>
      <c r="C15" s="247"/>
      <c r="D15" s="247"/>
      <c r="E15" s="265"/>
      <c r="F15" s="90"/>
      <c r="G15" s="184"/>
    </row>
    <row r="16" spans="1:7" ht="24.95" customHeight="1" x14ac:dyDescent="0.3">
      <c r="A16" s="144">
        <f>SUM(D15:D16)</f>
        <v>0</v>
      </c>
      <c r="B16" s="247"/>
      <c r="C16" s="247"/>
      <c r="D16" s="247"/>
      <c r="E16" s="265"/>
      <c r="F16" s="90"/>
      <c r="G16" s="184"/>
    </row>
    <row r="17" spans="1:7" ht="24.95" customHeight="1" x14ac:dyDescent="0.3">
      <c r="A17" s="144" t="s">
        <v>27</v>
      </c>
      <c r="B17" s="247"/>
      <c r="C17" s="247"/>
      <c r="D17" s="145"/>
      <c r="E17" s="134"/>
      <c r="F17" s="189"/>
      <c r="G17" s="191"/>
    </row>
    <row r="18" spans="1:7" ht="24.95" customHeight="1" thickBot="1" x14ac:dyDescent="0.35">
      <c r="A18" s="142">
        <f>SUM(D17:D18)</f>
        <v>0</v>
      </c>
      <c r="B18" s="248"/>
      <c r="C18" s="248"/>
      <c r="D18" s="146"/>
      <c r="E18" s="194"/>
      <c r="F18" s="195"/>
      <c r="G18" s="196"/>
    </row>
    <row r="19" spans="1:7" ht="24.95" customHeight="1" x14ac:dyDescent="0.3">
      <c r="A19" s="221" t="s">
        <v>65</v>
      </c>
      <c r="B19" s="221"/>
      <c r="C19" s="3"/>
      <c r="D19" s="4"/>
      <c r="E19" s="5"/>
      <c r="F19" s="5"/>
    </row>
    <row r="20" spans="1:7" ht="24.95" customHeight="1" x14ac:dyDescent="0.3">
      <c r="A20" s="66" t="s">
        <v>62</v>
      </c>
      <c r="B20" s="9">
        <f>SUM(C23:C37)</f>
        <v>0</v>
      </c>
      <c r="C20" s="3"/>
      <c r="D20" s="4"/>
      <c r="E20" s="5"/>
      <c r="F20" s="5"/>
    </row>
    <row r="21" spans="1:7" ht="24.95" customHeight="1" thickBot="1" x14ac:dyDescent="0.35">
      <c r="A21" s="66" t="s">
        <v>63</v>
      </c>
      <c r="B21" s="9">
        <f>SUM(A24,A33,A35,A37)</f>
        <v>0</v>
      </c>
      <c r="C21" s="3"/>
      <c r="D21" s="4"/>
      <c r="E21" s="5"/>
      <c r="F21" s="5"/>
    </row>
    <row r="22" spans="1:7" ht="24.95" customHeight="1" thickBot="1" x14ac:dyDescent="0.35">
      <c r="A22" s="94" t="s">
        <v>2</v>
      </c>
      <c r="B22" s="95" t="s">
        <v>3</v>
      </c>
      <c r="C22" s="95" t="s">
        <v>4</v>
      </c>
      <c r="D22" s="96" t="s">
        <v>64</v>
      </c>
      <c r="E22" s="148" t="s">
        <v>6</v>
      </c>
      <c r="F22" s="211" t="s">
        <v>7</v>
      </c>
      <c r="G22" s="212"/>
    </row>
    <row r="23" spans="1:7" ht="24.95" customHeight="1" thickTop="1" x14ac:dyDescent="0.3">
      <c r="A23" s="139" t="s">
        <v>28</v>
      </c>
      <c r="B23" s="246"/>
      <c r="C23" s="246"/>
      <c r="D23" s="246"/>
      <c r="E23" s="264"/>
      <c r="F23" s="67"/>
      <c r="G23" s="197"/>
    </row>
    <row r="24" spans="1:7" ht="24.95" customHeight="1" x14ac:dyDescent="0.3">
      <c r="A24" s="141">
        <f>SUM(D23:D24)</f>
        <v>0</v>
      </c>
      <c r="B24" s="247"/>
      <c r="C24" s="247"/>
      <c r="D24" s="247"/>
      <c r="E24" s="265"/>
      <c r="F24" s="90"/>
      <c r="G24" s="184"/>
    </row>
    <row r="25" spans="1:7" ht="24.95" customHeight="1" x14ac:dyDescent="0.3">
      <c r="A25" s="243" t="s">
        <v>54</v>
      </c>
      <c r="B25" s="138"/>
      <c r="C25" s="90"/>
      <c r="D25" s="145"/>
      <c r="E25" s="134"/>
      <c r="F25" s="189"/>
      <c r="G25" s="191"/>
    </row>
    <row r="26" spans="1:7" ht="24.95" customHeight="1" x14ac:dyDescent="0.3">
      <c r="A26" s="243"/>
      <c r="B26" s="240"/>
      <c r="C26" s="267"/>
      <c r="D26" s="145"/>
      <c r="E26" s="134"/>
      <c r="F26" s="189"/>
      <c r="G26" s="191"/>
    </row>
    <row r="27" spans="1:7" ht="24.95" customHeight="1" x14ac:dyDescent="0.3">
      <c r="A27" s="243"/>
      <c r="B27" s="240"/>
      <c r="C27" s="267"/>
      <c r="D27" s="145"/>
      <c r="E27" s="134"/>
      <c r="F27" s="189"/>
      <c r="G27" s="191"/>
    </row>
    <row r="28" spans="1:7" ht="24.95" customHeight="1" x14ac:dyDescent="0.3">
      <c r="A28" s="243"/>
      <c r="B28" s="240"/>
      <c r="C28" s="267"/>
      <c r="D28" s="145"/>
      <c r="E28" s="134"/>
      <c r="F28" s="189"/>
      <c r="G28" s="191"/>
    </row>
    <row r="29" spans="1:7" ht="24.95" customHeight="1" x14ac:dyDescent="0.3">
      <c r="A29" s="243"/>
      <c r="B29" s="240"/>
      <c r="C29" s="267"/>
      <c r="D29" s="145"/>
      <c r="E29" s="134"/>
      <c r="F29" s="189"/>
      <c r="G29" s="191"/>
    </row>
    <row r="30" spans="1:7" ht="24.95" customHeight="1" x14ac:dyDescent="0.3">
      <c r="A30" s="243"/>
      <c r="B30" s="240"/>
      <c r="C30" s="267"/>
      <c r="D30" s="145"/>
      <c r="E30" s="134"/>
      <c r="F30" s="189"/>
      <c r="G30" s="191"/>
    </row>
    <row r="31" spans="1:7" ht="24.95" customHeight="1" x14ac:dyDescent="0.3">
      <c r="A31" s="243"/>
      <c r="B31" s="240"/>
      <c r="C31" s="267"/>
      <c r="D31" s="145"/>
      <c r="E31" s="134"/>
      <c r="F31" s="189"/>
      <c r="G31" s="191"/>
    </row>
    <row r="32" spans="1:7" ht="24.95" customHeight="1" x14ac:dyDescent="0.3">
      <c r="A32" s="243"/>
      <c r="B32" s="138"/>
      <c r="C32" s="90"/>
      <c r="D32" s="145"/>
      <c r="E32" s="134"/>
      <c r="F32" s="189"/>
      <c r="G32" s="191"/>
    </row>
    <row r="33" spans="1:7" ht="24.95" customHeight="1" x14ac:dyDescent="0.3">
      <c r="A33" s="141">
        <f>SUM(D25:D33)</f>
        <v>0</v>
      </c>
      <c r="B33" s="137"/>
      <c r="C33" s="137"/>
      <c r="D33" s="145"/>
      <c r="E33" s="134"/>
      <c r="F33" s="189"/>
      <c r="G33" s="191"/>
    </row>
    <row r="34" spans="1:7" ht="24.95" customHeight="1" x14ac:dyDescent="0.3">
      <c r="A34" s="144" t="s">
        <v>55</v>
      </c>
      <c r="B34" s="240"/>
      <c r="C34" s="247"/>
      <c r="D34" s="247"/>
      <c r="E34" s="266"/>
      <c r="F34" s="189"/>
      <c r="G34" s="191"/>
    </row>
    <row r="35" spans="1:7" ht="24.95" customHeight="1" x14ac:dyDescent="0.3">
      <c r="A35" s="144">
        <f>SUM(D34:D35)</f>
        <v>0</v>
      </c>
      <c r="B35" s="240"/>
      <c r="C35" s="247"/>
      <c r="D35" s="247"/>
      <c r="E35" s="266"/>
      <c r="F35" s="189"/>
      <c r="G35" s="191"/>
    </row>
    <row r="36" spans="1:7" ht="24.95" customHeight="1" x14ac:dyDescent="0.3">
      <c r="A36" s="144" t="s">
        <v>93</v>
      </c>
      <c r="B36" s="247"/>
      <c r="C36" s="247"/>
      <c r="D36" s="136"/>
      <c r="E36" s="134"/>
      <c r="F36" s="189"/>
      <c r="G36" s="191"/>
    </row>
    <row r="37" spans="1:7" ht="24.95" customHeight="1" thickBot="1" x14ac:dyDescent="0.35">
      <c r="A37" s="142">
        <f>SUM(D36:D37)</f>
        <v>0</v>
      </c>
      <c r="B37" s="248"/>
      <c r="C37" s="248"/>
      <c r="D37" s="146"/>
      <c r="E37" s="194"/>
      <c r="F37" s="195"/>
      <c r="G37" s="196"/>
    </row>
    <row r="38" spans="1:7" ht="24.95" customHeight="1" thickBot="1" x14ac:dyDescent="0.35">
      <c r="A38" s="252" t="s">
        <v>89</v>
      </c>
      <c r="B38" s="252"/>
      <c r="C38" s="68"/>
      <c r="D38" s="69"/>
      <c r="E38" s="69"/>
      <c r="F38" s="70"/>
      <c r="G38" s="21"/>
    </row>
    <row r="39" spans="1:7" ht="24.95" customHeight="1" x14ac:dyDescent="0.3">
      <c r="A39" s="253" t="s">
        <v>13</v>
      </c>
      <c r="B39" s="255" t="s">
        <v>90</v>
      </c>
      <c r="C39" s="255" t="s">
        <v>8</v>
      </c>
      <c r="D39" s="250" t="s">
        <v>78</v>
      </c>
      <c r="E39" s="250" t="s">
        <v>79</v>
      </c>
      <c r="F39" s="100" t="s">
        <v>91</v>
      </c>
      <c r="G39" s="101">
        <f>SUM(G41:G45)</f>
        <v>0</v>
      </c>
    </row>
    <row r="40" spans="1:7" ht="24.95" customHeight="1" thickBot="1" x14ac:dyDescent="0.35">
      <c r="A40" s="254"/>
      <c r="B40" s="256"/>
      <c r="C40" s="256"/>
      <c r="D40" s="251"/>
      <c r="E40" s="251"/>
      <c r="F40" s="103" t="s">
        <v>133</v>
      </c>
      <c r="G40" s="104">
        <f>SUM(G41:G44)</f>
        <v>0</v>
      </c>
    </row>
    <row r="41" spans="1:7" ht="24.95" customHeight="1" thickTop="1" x14ac:dyDescent="0.3">
      <c r="A41" s="257">
        <f>B21</f>
        <v>0</v>
      </c>
      <c r="B41" s="260">
        <f>G39</f>
        <v>0</v>
      </c>
      <c r="C41" s="246"/>
      <c r="D41" s="260">
        <f>A41-C41</f>
        <v>0</v>
      </c>
      <c r="E41" s="246">
        <f>B41-C41</f>
        <v>0</v>
      </c>
      <c r="F41" s="128" t="s">
        <v>75</v>
      </c>
      <c r="G41" s="149"/>
    </row>
    <row r="42" spans="1:7" ht="24.95" customHeight="1" x14ac:dyDescent="0.3">
      <c r="A42" s="258"/>
      <c r="B42" s="261"/>
      <c r="C42" s="247"/>
      <c r="D42" s="261"/>
      <c r="E42" s="247"/>
      <c r="F42" s="138" t="s">
        <v>92</v>
      </c>
      <c r="G42" s="150"/>
    </row>
    <row r="43" spans="1:7" ht="24.95" customHeight="1" x14ac:dyDescent="0.3">
      <c r="A43" s="258"/>
      <c r="B43" s="261"/>
      <c r="C43" s="247"/>
      <c r="D43" s="261"/>
      <c r="E43" s="247"/>
      <c r="F43" s="138" t="s">
        <v>76</v>
      </c>
      <c r="G43" s="150"/>
    </row>
    <row r="44" spans="1:7" ht="24.95" customHeight="1" x14ac:dyDescent="0.3">
      <c r="A44" s="258"/>
      <c r="B44" s="261"/>
      <c r="C44" s="247"/>
      <c r="D44" s="261"/>
      <c r="E44" s="247"/>
      <c r="F44" s="138" t="s">
        <v>113</v>
      </c>
      <c r="G44" s="150"/>
    </row>
    <row r="45" spans="1:7" ht="24.95" customHeight="1" thickBot="1" x14ac:dyDescent="0.35">
      <c r="A45" s="259"/>
      <c r="B45" s="262"/>
      <c r="C45" s="248"/>
      <c r="D45" s="262"/>
      <c r="E45" s="248"/>
      <c r="F45" s="102" t="s">
        <v>68</v>
      </c>
      <c r="G45" s="152"/>
    </row>
  </sheetData>
  <mergeCells count="43">
    <mergeCell ref="A10:A13"/>
    <mergeCell ref="E15:E16"/>
    <mergeCell ref="D15:D16"/>
    <mergeCell ref="B11:B14"/>
    <mergeCell ref="C11:C14"/>
    <mergeCell ref="B15:B16"/>
    <mergeCell ref="C15:C16"/>
    <mergeCell ref="E39:E40"/>
    <mergeCell ref="A25:A32"/>
    <mergeCell ref="A38:B38"/>
    <mergeCell ref="A39:A40"/>
    <mergeCell ref="B39:B40"/>
    <mergeCell ref="C39:C40"/>
    <mergeCell ref="D39:D40"/>
    <mergeCell ref="E34:E35"/>
    <mergeCell ref="C26:C31"/>
    <mergeCell ref="B26:B31"/>
    <mergeCell ref="A41:A45"/>
    <mergeCell ref="B41:B45"/>
    <mergeCell ref="C41:C45"/>
    <mergeCell ref="D41:D45"/>
    <mergeCell ref="E41:E45"/>
    <mergeCell ref="C36:C37"/>
    <mergeCell ref="B36:B37"/>
    <mergeCell ref="B34:B35"/>
    <mergeCell ref="C34:C35"/>
    <mergeCell ref="D34:D35"/>
    <mergeCell ref="F22:G22"/>
    <mergeCell ref="F1:G1"/>
    <mergeCell ref="F6:G6"/>
    <mergeCell ref="A19:B19"/>
    <mergeCell ref="B23:B24"/>
    <mergeCell ref="C23:C24"/>
    <mergeCell ref="D23:D24"/>
    <mergeCell ref="E23:E24"/>
    <mergeCell ref="B17:B18"/>
    <mergeCell ref="C17:C18"/>
    <mergeCell ref="C1:E1"/>
    <mergeCell ref="A2:F2"/>
    <mergeCell ref="A3:B3"/>
    <mergeCell ref="A7:A8"/>
    <mergeCell ref="B7:B9"/>
    <mergeCell ref="C7:C9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83" fitToHeight="0" orientation="portrait" r:id="rId1"/>
  <rowBreaks count="1" manualBreakCount="1">
    <brk id="18" max="6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opLeftCell="A13" workbookViewId="0">
      <selection activeCell="H21" sqref="H21"/>
    </sheetView>
  </sheetViews>
  <sheetFormatPr defaultRowHeight="15.75" x14ac:dyDescent="0.3"/>
  <cols>
    <col min="1" max="1" width="14.875" style="1" customWidth="1"/>
    <col min="2" max="3" width="12.875" style="1" customWidth="1"/>
    <col min="4" max="4" width="12.875" style="2" customWidth="1"/>
    <col min="5" max="5" width="14.75" style="1" customWidth="1"/>
    <col min="6" max="6" width="16.625" style="1" customWidth="1"/>
    <col min="7" max="7" width="15.125" style="1" customWidth="1"/>
    <col min="8" max="16384" width="9" style="1"/>
  </cols>
  <sheetData>
    <row r="1" spans="1:7" ht="24.75" customHeight="1" x14ac:dyDescent="0.25">
      <c r="A1" s="10"/>
      <c r="B1" s="55"/>
      <c r="C1" s="234" t="s">
        <v>61</v>
      </c>
      <c r="D1" s="234"/>
      <c r="E1" s="234"/>
      <c r="F1" s="80" t="s">
        <v>58</v>
      </c>
    </row>
    <row r="2" spans="1:7" ht="20.100000000000001" customHeight="1" x14ac:dyDescent="0.3">
      <c r="A2" s="221" t="s">
        <v>94</v>
      </c>
      <c r="B2" s="221"/>
      <c r="C2" s="221"/>
      <c r="D2" s="221"/>
      <c r="E2" s="221"/>
      <c r="F2" s="221"/>
    </row>
    <row r="3" spans="1:7" ht="20.100000000000001" customHeight="1" x14ac:dyDescent="0.3">
      <c r="A3" s="221" t="s">
        <v>9</v>
      </c>
      <c r="B3" s="221"/>
      <c r="C3" s="3"/>
      <c r="D3" s="4"/>
      <c r="E3" s="5"/>
      <c r="F3" s="5"/>
    </row>
    <row r="4" spans="1:7" ht="20.100000000000001" customHeight="1" x14ac:dyDescent="0.3">
      <c r="A4" s="72" t="s">
        <v>59</v>
      </c>
      <c r="B4" s="56">
        <f>SUM(C7:C17)</f>
        <v>0</v>
      </c>
      <c r="C4" s="3"/>
      <c r="D4" s="4"/>
      <c r="E4" s="5"/>
      <c r="F4" s="5"/>
    </row>
    <row r="5" spans="1:7" ht="20.100000000000001" customHeight="1" thickBot="1" x14ac:dyDescent="0.35">
      <c r="A5" s="72" t="s">
        <v>60</v>
      </c>
      <c r="B5" s="56">
        <f>SUM(A8,A11,A13,A17)</f>
        <v>0</v>
      </c>
      <c r="C5" s="3"/>
      <c r="D5" s="4"/>
      <c r="E5" s="5"/>
      <c r="F5" s="5"/>
    </row>
    <row r="6" spans="1:7" ht="24.95" customHeight="1" thickBot="1" x14ac:dyDescent="0.35">
      <c r="A6" s="94" t="s">
        <v>2</v>
      </c>
      <c r="B6" s="95" t="s">
        <v>3</v>
      </c>
      <c r="C6" s="95" t="s">
        <v>4</v>
      </c>
      <c r="D6" s="96" t="s">
        <v>5</v>
      </c>
      <c r="E6" s="148" t="s">
        <v>6</v>
      </c>
      <c r="F6" s="211" t="s">
        <v>7</v>
      </c>
      <c r="G6" s="212"/>
    </row>
    <row r="7" spans="1:7" ht="24.95" customHeight="1" thickTop="1" x14ac:dyDescent="0.3">
      <c r="A7" s="139" t="s">
        <v>28</v>
      </c>
      <c r="B7" s="129"/>
      <c r="C7" s="129"/>
      <c r="D7" s="129"/>
      <c r="E7" s="131"/>
      <c r="F7" s="67"/>
      <c r="G7" s="197"/>
    </row>
    <row r="8" spans="1:7" ht="24.95" customHeight="1" x14ac:dyDescent="0.3">
      <c r="A8" s="141">
        <f>SUM(D7:D8)</f>
        <v>0</v>
      </c>
      <c r="B8" s="137"/>
      <c r="C8" s="137"/>
      <c r="D8" s="137"/>
      <c r="E8" s="135"/>
      <c r="F8" s="90"/>
      <c r="G8" s="184"/>
    </row>
    <row r="9" spans="1:7" ht="24.95" customHeight="1" x14ac:dyDescent="0.3">
      <c r="A9" s="243" t="s">
        <v>87</v>
      </c>
      <c r="B9" s="247"/>
      <c r="C9" s="247"/>
      <c r="D9" s="137"/>
      <c r="E9" s="135"/>
      <c r="F9" s="90"/>
      <c r="G9" s="184"/>
    </row>
    <row r="10" spans="1:7" ht="24.95" customHeight="1" x14ac:dyDescent="0.3">
      <c r="A10" s="243"/>
      <c r="B10" s="247"/>
      <c r="C10" s="247"/>
      <c r="D10" s="137"/>
      <c r="E10" s="135"/>
      <c r="F10" s="90"/>
      <c r="G10" s="184"/>
    </row>
    <row r="11" spans="1:7" ht="24.95" customHeight="1" x14ac:dyDescent="0.3">
      <c r="A11" s="141">
        <f>SUM(D9:D11)</f>
        <v>0</v>
      </c>
      <c r="B11" s="247"/>
      <c r="C11" s="247"/>
      <c r="D11" s="137"/>
      <c r="E11" s="134"/>
      <c r="F11" s="189"/>
      <c r="G11" s="191"/>
    </row>
    <row r="12" spans="1:7" ht="24.95" customHeight="1" x14ac:dyDescent="0.3">
      <c r="A12" s="144" t="s">
        <v>17</v>
      </c>
      <c r="B12" s="247"/>
      <c r="C12" s="247"/>
      <c r="D12" s="247"/>
      <c r="E12" s="265"/>
      <c r="F12" s="90"/>
      <c r="G12" s="184"/>
    </row>
    <row r="13" spans="1:7" ht="24.95" customHeight="1" x14ac:dyDescent="0.3">
      <c r="A13" s="144">
        <f>SUM(D12:D13)</f>
        <v>0</v>
      </c>
      <c r="B13" s="247"/>
      <c r="C13" s="247"/>
      <c r="D13" s="247"/>
      <c r="E13" s="265"/>
      <c r="F13" s="90"/>
      <c r="G13" s="184"/>
    </row>
    <row r="14" spans="1:7" ht="24.95" customHeight="1" x14ac:dyDescent="0.3">
      <c r="A14" s="238" t="s">
        <v>27</v>
      </c>
      <c r="B14" s="247"/>
      <c r="C14" s="247"/>
      <c r="D14" s="145"/>
      <c r="E14" s="134"/>
      <c r="F14" s="189"/>
      <c r="G14" s="191"/>
    </row>
    <row r="15" spans="1:7" ht="24.95" customHeight="1" x14ac:dyDescent="0.3">
      <c r="A15" s="238"/>
      <c r="B15" s="247"/>
      <c r="C15" s="247"/>
      <c r="D15" s="145"/>
      <c r="E15" s="134"/>
      <c r="F15" s="189"/>
      <c r="G15" s="191"/>
    </row>
    <row r="16" spans="1:7" ht="24.95" customHeight="1" x14ac:dyDescent="0.3">
      <c r="A16" s="238"/>
      <c r="B16" s="247"/>
      <c r="C16" s="247"/>
      <c r="D16" s="145"/>
      <c r="E16" s="134"/>
      <c r="F16" s="189"/>
      <c r="G16" s="191"/>
    </row>
    <row r="17" spans="1:7" ht="24.95" customHeight="1" thickBot="1" x14ac:dyDescent="0.35">
      <c r="A17" s="142">
        <f>SUM(D14:D17)</f>
        <v>0</v>
      </c>
      <c r="B17" s="248"/>
      <c r="C17" s="248"/>
      <c r="D17" s="143"/>
      <c r="E17" s="194"/>
      <c r="F17" s="195"/>
      <c r="G17" s="196"/>
    </row>
    <row r="18" spans="1:7" ht="20.25" customHeight="1" x14ac:dyDescent="0.3">
      <c r="A18" s="221" t="s">
        <v>65</v>
      </c>
      <c r="B18" s="221"/>
      <c r="C18" s="3"/>
      <c r="D18" s="4"/>
      <c r="E18" s="5"/>
      <c r="F18" s="5"/>
    </row>
    <row r="19" spans="1:7" ht="20.25" customHeight="1" x14ac:dyDescent="0.3">
      <c r="A19" s="72" t="s">
        <v>62</v>
      </c>
      <c r="B19" s="9">
        <f>SUM(C22:C35)</f>
        <v>0</v>
      </c>
      <c r="C19" s="3"/>
      <c r="D19" s="4"/>
      <c r="E19" s="5"/>
      <c r="F19" s="5"/>
    </row>
    <row r="20" spans="1:7" ht="20.25" customHeight="1" thickBot="1" x14ac:dyDescent="0.35">
      <c r="A20" s="72" t="s">
        <v>63</v>
      </c>
      <c r="B20" s="9">
        <f>SUM(A23,A29,A31,A35)</f>
        <v>0</v>
      </c>
      <c r="C20" s="3"/>
      <c r="D20" s="4"/>
      <c r="E20" s="5"/>
      <c r="F20" s="5"/>
    </row>
    <row r="21" spans="1:7" ht="24.95" customHeight="1" thickBot="1" x14ac:dyDescent="0.35">
      <c r="A21" s="94" t="s">
        <v>2</v>
      </c>
      <c r="B21" s="95" t="s">
        <v>3</v>
      </c>
      <c r="C21" s="95" t="s">
        <v>4</v>
      </c>
      <c r="D21" s="96" t="s">
        <v>64</v>
      </c>
      <c r="E21" s="148" t="s">
        <v>6</v>
      </c>
      <c r="F21" s="211" t="s">
        <v>7</v>
      </c>
      <c r="G21" s="212"/>
    </row>
    <row r="22" spans="1:7" ht="24.95" customHeight="1" thickTop="1" x14ac:dyDescent="0.3">
      <c r="A22" s="139" t="s">
        <v>28</v>
      </c>
      <c r="B22" s="246"/>
      <c r="C22" s="246"/>
      <c r="D22" s="246"/>
      <c r="E22" s="264"/>
      <c r="F22" s="67"/>
      <c r="G22" s="197"/>
    </row>
    <row r="23" spans="1:7" ht="24.95" customHeight="1" x14ac:dyDescent="0.3">
      <c r="A23" s="141">
        <f>SUM(D22:D23)</f>
        <v>0</v>
      </c>
      <c r="B23" s="247"/>
      <c r="C23" s="247"/>
      <c r="D23" s="247"/>
      <c r="E23" s="265"/>
      <c r="F23" s="90"/>
      <c r="G23" s="184"/>
    </row>
    <row r="24" spans="1:7" ht="24.95" customHeight="1" x14ac:dyDescent="0.3">
      <c r="A24" s="243" t="s">
        <v>97</v>
      </c>
      <c r="B24" s="247"/>
      <c r="C24" s="247"/>
      <c r="D24" s="145"/>
      <c r="E24" s="134"/>
      <c r="F24" s="189"/>
      <c r="G24" s="191"/>
    </row>
    <row r="25" spans="1:7" ht="24.95" customHeight="1" x14ac:dyDescent="0.3">
      <c r="A25" s="243"/>
      <c r="B25" s="247"/>
      <c r="C25" s="247"/>
      <c r="D25" s="145"/>
      <c r="E25" s="134"/>
      <c r="F25" s="189"/>
      <c r="G25" s="191"/>
    </row>
    <row r="26" spans="1:7" ht="24.95" customHeight="1" x14ac:dyDescent="0.3">
      <c r="A26" s="243"/>
      <c r="B26" s="247"/>
      <c r="C26" s="247"/>
      <c r="D26" s="145"/>
      <c r="E26" s="134"/>
      <c r="F26" s="189"/>
      <c r="G26" s="191"/>
    </row>
    <row r="27" spans="1:7" ht="24.95" customHeight="1" x14ac:dyDescent="0.3">
      <c r="A27" s="243"/>
      <c r="B27" s="247"/>
      <c r="C27" s="247"/>
      <c r="D27" s="145"/>
      <c r="E27" s="134"/>
      <c r="F27" s="189"/>
      <c r="G27" s="191"/>
    </row>
    <row r="28" spans="1:7" ht="24.95" customHeight="1" x14ac:dyDescent="0.3">
      <c r="A28" s="243"/>
      <c r="B28" s="240"/>
      <c r="C28" s="267"/>
      <c r="D28" s="145"/>
      <c r="E28" s="134"/>
      <c r="F28" s="189"/>
      <c r="G28" s="191"/>
    </row>
    <row r="29" spans="1:7" ht="24.95" customHeight="1" x14ac:dyDescent="0.3">
      <c r="A29" s="141">
        <f>SUM(D24:D29)</f>
        <v>0</v>
      </c>
      <c r="B29" s="240"/>
      <c r="C29" s="267"/>
      <c r="D29" s="145"/>
      <c r="E29" s="134"/>
      <c r="F29" s="189"/>
      <c r="G29" s="191"/>
    </row>
    <row r="30" spans="1:7" ht="24.95" customHeight="1" x14ac:dyDescent="0.3">
      <c r="A30" s="144" t="s">
        <v>17</v>
      </c>
      <c r="B30" s="240"/>
      <c r="C30" s="247"/>
      <c r="D30" s="247"/>
      <c r="E30" s="266"/>
      <c r="F30" s="189"/>
      <c r="G30" s="191"/>
    </row>
    <row r="31" spans="1:7" ht="24.95" customHeight="1" x14ac:dyDescent="0.3">
      <c r="A31" s="144">
        <f>SUM(D30:D31)</f>
        <v>0</v>
      </c>
      <c r="B31" s="240"/>
      <c r="C31" s="247"/>
      <c r="D31" s="247"/>
      <c r="E31" s="266"/>
      <c r="F31" s="189"/>
      <c r="G31" s="191"/>
    </row>
    <row r="32" spans="1:7" ht="24.95" customHeight="1" x14ac:dyDescent="0.3">
      <c r="A32" s="238" t="s">
        <v>93</v>
      </c>
      <c r="B32" s="247"/>
      <c r="C32" s="247"/>
      <c r="D32" s="136"/>
      <c r="E32" s="134"/>
      <c r="F32" s="189"/>
      <c r="G32" s="191"/>
    </row>
    <row r="33" spans="1:8" ht="24.95" customHeight="1" x14ac:dyDescent="0.3">
      <c r="A33" s="238"/>
      <c r="B33" s="247"/>
      <c r="C33" s="247"/>
      <c r="D33" s="136"/>
      <c r="E33" s="134"/>
      <c r="F33" s="189"/>
      <c r="G33" s="191"/>
    </row>
    <row r="34" spans="1:8" ht="24.95" customHeight="1" x14ac:dyDescent="0.3">
      <c r="A34" s="238"/>
      <c r="B34" s="247"/>
      <c r="C34" s="247"/>
      <c r="D34" s="136"/>
      <c r="E34" s="134"/>
      <c r="F34" s="189"/>
      <c r="G34" s="191"/>
    </row>
    <row r="35" spans="1:8" ht="24.95" customHeight="1" thickBot="1" x14ac:dyDescent="0.35">
      <c r="A35" s="142">
        <f>SUM(D32:D35)</f>
        <v>0</v>
      </c>
      <c r="B35" s="248"/>
      <c r="C35" s="248"/>
      <c r="D35" s="146"/>
      <c r="E35" s="194"/>
      <c r="F35" s="195"/>
      <c r="G35" s="196"/>
      <c r="H35" s="82"/>
    </row>
    <row r="36" spans="1:8" ht="33" customHeight="1" thickBot="1" x14ac:dyDescent="0.35">
      <c r="A36" s="252" t="s">
        <v>95</v>
      </c>
      <c r="B36" s="252"/>
      <c r="C36" s="68"/>
      <c r="D36" s="69"/>
      <c r="E36" s="69"/>
      <c r="F36" s="70"/>
      <c r="G36" s="21"/>
    </row>
    <row r="37" spans="1:8" ht="24.95" customHeight="1" x14ac:dyDescent="0.3">
      <c r="A37" s="253" t="s">
        <v>13</v>
      </c>
      <c r="B37" s="255" t="s">
        <v>96</v>
      </c>
      <c r="C37" s="255" t="s">
        <v>8</v>
      </c>
      <c r="D37" s="250" t="s">
        <v>78</v>
      </c>
      <c r="E37" s="250" t="s">
        <v>79</v>
      </c>
      <c r="F37" s="100" t="s">
        <v>91</v>
      </c>
      <c r="G37" s="101">
        <f>SUM(G39:G43)</f>
        <v>0</v>
      </c>
    </row>
    <row r="38" spans="1:8" ht="24.95" customHeight="1" thickBot="1" x14ac:dyDescent="0.35">
      <c r="A38" s="254"/>
      <c r="B38" s="256"/>
      <c r="C38" s="256"/>
      <c r="D38" s="251"/>
      <c r="E38" s="251"/>
      <c r="F38" s="103" t="s">
        <v>133</v>
      </c>
      <c r="G38" s="104">
        <f>SUM(G39:G42)</f>
        <v>0</v>
      </c>
    </row>
    <row r="39" spans="1:8" ht="23.1" customHeight="1" thickTop="1" x14ac:dyDescent="0.3">
      <c r="A39" s="257">
        <f>B20</f>
        <v>0</v>
      </c>
      <c r="B39" s="260">
        <f>G37</f>
        <v>0</v>
      </c>
      <c r="C39" s="246"/>
      <c r="D39" s="260">
        <f>A39-C39</f>
        <v>0</v>
      </c>
      <c r="E39" s="246">
        <f>B39-C39</f>
        <v>0</v>
      </c>
      <c r="F39" s="128" t="s">
        <v>75</v>
      </c>
      <c r="G39" s="149"/>
    </row>
    <row r="40" spans="1:8" ht="23.1" customHeight="1" x14ac:dyDescent="0.3">
      <c r="A40" s="258"/>
      <c r="B40" s="261"/>
      <c r="C40" s="247"/>
      <c r="D40" s="261"/>
      <c r="E40" s="247"/>
      <c r="F40" s="138" t="s">
        <v>92</v>
      </c>
      <c r="G40" s="150"/>
    </row>
    <row r="41" spans="1:8" ht="23.1" customHeight="1" x14ac:dyDescent="0.3">
      <c r="A41" s="258"/>
      <c r="B41" s="261"/>
      <c r="C41" s="247"/>
      <c r="D41" s="261"/>
      <c r="E41" s="247"/>
      <c r="F41" s="138" t="s">
        <v>17</v>
      </c>
      <c r="G41" s="150"/>
    </row>
    <row r="42" spans="1:8" ht="23.1" customHeight="1" x14ac:dyDescent="0.3">
      <c r="A42" s="258"/>
      <c r="B42" s="261"/>
      <c r="C42" s="247"/>
      <c r="D42" s="261"/>
      <c r="E42" s="247"/>
      <c r="F42" s="138" t="s">
        <v>98</v>
      </c>
      <c r="G42" s="150"/>
    </row>
    <row r="43" spans="1:8" ht="23.1" customHeight="1" thickBot="1" x14ac:dyDescent="0.35">
      <c r="A43" s="259"/>
      <c r="B43" s="262"/>
      <c r="C43" s="248"/>
      <c r="D43" s="262"/>
      <c r="E43" s="248"/>
      <c r="F43" s="102" t="s">
        <v>68</v>
      </c>
      <c r="G43" s="152"/>
    </row>
  </sheetData>
  <mergeCells count="43">
    <mergeCell ref="A18:B18"/>
    <mergeCell ref="F21:G21"/>
    <mergeCell ref="E30:E31"/>
    <mergeCell ref="D30:D31"/>
    <mergeCell ref="C30:C31"/>
    <mergeCell ref="B30:B31"/>
    <mergeCell ref="E22:E23"/>
    <mergeCell ref="A36:B36"/>
    <mergeCell ref="B28:B29"/>
    <mergeCell ref="C28:C29"/>
    <mergeCell ref="A24:A28"/>
    <mergeCell ref="B22:B23"/>
    <mergeCell ref="C22:C23"/>
    <mergeCell ref="B24:B27"/>
    <mergeCell ref="C24:C27"/>
    <mergeCell ref="D22:D23"/>
    <mergeCell ref="A32:A34"/>
    <mergeCell ref="B32:B35"/>
    <mergeCell ref="C32:C35"/>
    <mergeCell ref="A39:A43"/>
    <mergeCell ref="B39:B43"/>
    <mergeCell ref="C39:C43"/>
    <mergeCell ref="D39:D43"/>
    <mergeCell ref="E39:E43"/>
    <mergeCell ref="A37:A38"/>
    <mergeCell ref="B37:B38"/>
    <mergeCell ref="C37:C38"/>
    <mergeCell ref="D37:D38"/>
    <mergeCell ref="E37:E38"/>
    <mergeCell ref="E12:E13"/>
    <mergeCell ref="D12:D13"/>
    <mergeCell ref="C12:C13"/>
    <mergeCell ref="B12:B13"/>
    <mergeCell ref="C1:E1"/>
    <mergeCell ref="A2:F2"/>
    <mergeCell ref="A3:B3"/>
    <mergeCell ref="F6:G6"/>
    <mergeCell ref="A14:A16"/>
    <mergeCell ref="A9:A10"/>
    <mergeCell ref="C9:C11"/>
    <mergeCell ref="B9:B11"/>
    <mergeCell ref="C14:C17"/>
    <mergeCell ref="B14:B17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topLeftCell="A19" zoomScaleNormal="100" workbookViewId="0">
      <selection activeCell="C1" sqref="C1:E1"/>
    </sheetView>
  </sheetViews>
  <sheetFormatPr defaultRowHeight="24.95" customHeight="1" x14ac:dyDescent="0.3"/>
  <cols>
    <col min="1" max="1" width="12.5" style="1" customWidth="1"/>
    <col min="2" max="2" width="14.125" style="1" bestFit="1" customWidth="1"/>
    <col min="3" max="3" width="13" style="1" customWidth="1"/>
    <col min="4" max="4" width="13.75" style="2" customWidth="1"/>
    <col min="5" max="5" width="17.125" style="1" customWidth="1"/>
    <col min="6" max="6" width="18.625" style="1" customWidth="1"/>
    <col min="7" max="7" width="13.375" style="1" customWidth="1"/>
    <col min="8" max="16384" width="9" style="1"/>
  </cols>
  <sheetData>
    <row r="1" spans="1:8" ht="24.95" customHeight="1" x14ac:dyDescent="0.25">
      <c r="A1" s="10"/>
      <c r="B1" s="55"/>
      <c r="C1" s="234" t="s">
        <v>61</v>
      </c>
      <c r="D1" s="234"/>
      <c r="E1" s="234"/>
      <c r="F1" s="235" t="s">
        <v>58</v>
      </c>
      <c r="G1" s="235"/>
    </row>
    <row r="2" spans="1:8" ht="24.95" customHeight="1" x14ac:dyDescent="0.3">
      <c r="A2" s="221" t="s">
        <v>99</v>
      </c>
      <c r="B2" s="221"/>
      <c r="C2" s="221"/>
      <c r="D2" s="221"/>
      <c r="E2" s="221"/>
      <c r="F2" s="221"/>
      <c r="G2" s="221"/>
    </row>
    <row r="3" spans="1:8" ht="24.95" customHeight="1" x14ac:dyDescent="0.3">
      <c r="A3" s="221" t="s">
        <v>9</v>
      </c>
      <c r="B3" s="221"/>
      <c r="C3" s="3"/>
      <c r="D3" s="4"/>
      <c r="E3" s="5"/>
      <c r="F3" s="5"/>
    </row>
    <row r="4" spans="1:8" ht="24.95" customHeight="1" x14ac:dyDescent="0.3">
      <c r="A4" s="73" t="s">
        <v>59</v>
      </c>
      <c r="B4" s="56">
        <f>SUM(C7:C21)</f>
        <v>0</v>
      </c>
      <c r="C4" s="3"/>
      <c r="D4" s="4"/>
      <c r="E4" s="5"/>
      <c r="F4" s="5"/>
    </row>
    <row r="5" spans="1:8" ht="24.95" customHeight="1" thickBot="1" x14ac:dyDescent="0.35">
      <c r="A5" s="73" t="s">
        <v>60</v>
      </c>
      <c r="B5" s="56">
        <f>SUM(A8,A16,A18,A21)</f>
        <v>0</v>
      </c>
      <c r="C5" s="3"/>
      <c r="D5" s="4"/>
      <c r="E5" s="5"/>
      <c r="F5" s="5"/>
    </row>
    <row r="6" spans="1:8" ht="24.95" customHeight="1" thickBot="1" x14ac:dyDescent="0.35">
      <c r="A6" s="94" t="s">
        <v>2</v>
      </c>
      <c r="B6" s="95" t="s">
        <v>3</v>
      </c>
      <c r="C6" s="95" t="s">
        <v>4</v>
      </c>
      <c r="D6" s="96" t="s">
        <v>5</v>
      </c>
      <c r="E6" s="148" t="s">
        <v>6</v>
      </c>
      <c r="F6" s="211" t="s">
        <v>7</v>
      </c>
      <c r="G6" s="212"/>
    </row>
    <row r="7" spans="1:8" ht="24.95" customHeight="1" thickTop="1" x14ac:dyDescent="0.3">
      <c r="A7" s="139" t="s">
        <v>28</v>
      </c>
      <c r="B7" s="246"/>
      <c r="C7" s="246"/>
      <c r="D7" s="246"/>
      <c r="E7" s="269"/>
      <c r="F7" s="67"/>
      <c r="G7" s="197"/>
    </row>
    <row r="8" spans="1:8" ht="24.95" customHeight="1" x14ac:dyDescent="0.3">
      <c r="A8" s="141">
        <f>SUM(D7:D8)</f>
        <v>0</v>
      </c>
      <c r="B8" s="247"/>
      <c r="C8" s="247"/>
      <c r="D8" s="247"/>
      <c r="E8" s="267"/>
      <c r="F8" s="90"/>
      <c r="G8" s="184"/>
    </row>
    <row r="9" spans="1:8" ht="24.95" customHeight="1" x14ac:dyDescent="0.3">
      <c r="A9" s="243" t="s">
        <v>54</v>
      </c>
      <c r="B9" s="247"/>
      <c r="C9" s="247"/>
      <c r="D9" s="137"/>
      <c r="E9" s="136"/>
      <c r="F9" s="90"/>
      <c r="G9" s="184"/>
    </row>
    <row r="10" spans="1:8" ht="24.95" customHeight="1" x14ac:dyDescent="0.3">
      <c r="A10" s="243"/>
      <c r="B10" s="247"/>
      <c r="C10" s="247"/>
      <c r="D10" s="137"/>
      <c r="E10" s="136"/>
      <c r="F10" s="90"/>
      <c r="G10" s="184"/>
      <c r="H10" s="83"/>
    </row>
    <row r="11" spans="1:8" ht="24.95" customHeight="1" x14ac:dyDescent="0.3">
      <c r="A11" s="243"/>
      <c r="B11" s="247"/>
      <c r="C11" s="247"/>
      <c r="D11" s="137"/>
      <c r="E11" s="136"/>
      <c r="F11" s="90"/>
      <c r="G11" s="184"/>
    </row>
    <row r="12" spans="1:8" ht="24.95" customHeight="1" x14ac:dyDescent="0.3">
      <c r="A12" s="243"/>
      <c r="B12" s="247"/>
      <c r="C12" s="247"/>
      <c r="D12" s="137"/>
      <c r="E12" s="136"/>
      <c r="F12" s="90"/>
      <c r="G12" s="184"/>
    </row>
    <row r="13" spans="1:8" ht="24.95" customHeight="1" x14ac:dyDescent="0.3">
      <c r="A13" s="243"/>
      <c r="B13" s="247"/>
      <c r="C13" s="247"/>
      <c r="D13" s="137"/>
      <c r="E13" s="136"/>
      <c r="F13" s="90"/>
      <c r="G13" s="184"/>
    </row>
    <row r="14" spans="1:8" ht="24.95" customHeight="1" x14ac:dyDescent="0.3">
      <c r="A14" s="243"/>
      <c r="B14" s="247"/>
      <c r="C14" s="247"/>
      <c r="D14" s="137"/>
      <c r="E14" s="136"/>
      <c r="F14" s="90"/>
      <c r="G14" s="184"/>
    </row>
    <row r="15" spans="1:8" ht="24.95" customHeight="1" x14ac:dyDescent="0.3">
      <c r="A15" s="243"/>
      <c r="B15" s="137"/>
      <c r="C15" s="137"/>
      <c r="D15" s="137"/>
      <c r="E15" s="136"/>
      <c r="F15" s="90"/>
      <c r="G15" s="184"/>
    </row>
    <row r="16" spans="1:8" ht="24.95" customHeight="1" x14ac:dyDescent="0.3">
      <c r="A16" s="141">
        <f>SUM(D9:D16)</f>
        <v>0</v>
      </c>
      <c r="B16" s="137"/>
      <c r="C16" s="145"/>
      <c r="D16" s="145"/>
      <c r="E16" s="138"/>
      <c r="F16" s="189"/>
      <c r="G16" s="191"/>
    </row>
    <row r="17" spans="1:7" ht="24.95" customHeight="1" x14ac:dyDescent="0.3">
      <c r="A17" s="144" t="s">
        <v>17</v>
      </c>
      <c r="B17" s="137"/>
      <c r="C17" s="137"/>
      <c r="D17" s="137"/>
      <c r="E17" s="136"/>
      <c r="F17" s="90"/>
      <c r="G17" s="184"/>
    </row>
    <row r="18" spans="1:7" ht="24.95" customHeight="1" x14ac:dyDescent="0.3">
      <c r="A18" s="144">
        <f>SUM(D17:D18)</f>
        <v>0</v>
      </c>
      <c r="B18" s="137"/>
      <c r="C18" s="137"/>
      <c r="D18" s="137"/>
      <c r="E18" s="137"/>
      <c r="F18" s="90"/>
      <c r="G18" s="184"/>
    </row>
    <row r="19" spans="1:7" ht="24.95" customHeight="1" x14ac:dyDescent="0.3">
      <c r="A19" s="238" t="s">
        <v>134</v>
      </c>
      <c r="B19" s="137"/>
      <c r="C19" s="137"/>
      <c r="D19" s="145"/>
      <c r="E19" s="138"/>
      <c r="F19" s="189"/>
      <c r="G19" s="191"/>
    </row>
    <row r="20" spans="1:7" ht="24.95" customHeight="1" x14ac:dyDescent="0.3">
      <c r="A20" s="238"/>
      <c r="B20" s="247"/>
      <c r="C20" s="247"/>
      <c r="D20" s="137"/>
      <c r="E20" s="138"/>
      <c r="F20" s="189"/>
      <c r="G20" s="191"/>
    </row>
    <row r="21" spans="1:7" ht="24.95" customHeight="1" thickBot="1" x14ac:dyDescent="0.35">
      <c r="A21" s="142">
        <f>SUM(D19:D21)</f>
        <v>0</v>
      </c>
      <c r="B21" s="248"/>
      <c r="C21" s="248"/>
      <c r="D21" s="143"/>
      <c r="E21" s="102"/>
      <c r="F21" s="195"/>
      <c r="G21" s="196"/>
    </row>
    <row r="22" spans="1:7" ht="24.95" customHeight="1" x14ac:dyDescent="0.3">
      <c r="A22" s="221" t="s">
        <v>65</v>
      </c>
      <c r="B22" s="221"/>
      <c r="C22" s="221"/>
      <c r="D22" s="221"/>
      <c r="E22" s="221"/>
      <c r="F22" s="221"/>
      <c r="G22" s="221"/>
    </row>
    <row r="23" spans="1:7" ht="24.95" customHeight="1" x14ac:dyDescent="0.3">
      <c r="A23" s="73" t="s">
        <v>62</v>
      </c>
      <c r="B23" s="9">
        <f>SUM(C26:C36)</f>
        <v>0</v>
      </c>
      <c r="C23" s="3"/>
      <c r="D23" s="4"/>
      <c r="E23" s="5"/>
      <c r="F23" s="5"/>
    </row>
    <row r="24" spans="1:7" ht="24.95" customHeight="1" thickBot="1" x14ac:dyDescent="0.35">
      <c r="A24" s="73" t="s">
        <v>63</v>
      </c>
      <c r="B24" s="9">
        <f>SUM(A27,A30,A32,A36)</f>
        <v>0</v>
      </c>
      <c r="C24" s="3"/>
      <c r="D24" s="4"/>
      <c r="E24" s="5"/>
      <c r="F24" s="5"/>
    </row>
    <row r="25" spans="1:7" ht="24.95" customHeight="1" thickBot="1" x14ac:dyDescent="0.35">
      <c r="A25" s="94" t="s">
        <v>2</v>
      </c>
      <c r="B25" s="95" t="s">
        <v>3</v>
      </c>
      <c r="C25" s="95" t="s">
        <v>4</v>
      </c>
      <c r="D25" s="96" t="s">
        <v>64</v>
      </c>
      <c r="E25" s="148" t="s">
        <v>6</v>
      </c>
      <c r="F25" s="211" t="s">
        <v>7</v>
      </c>
      <c r="G25" s="212"/>
    </row>
    <row r="26" spans="1:7" ht="24.95" customHeight="1" thickTop="1" x14ac:dyDescent="0.3">
      <c r="A26" s="139" t="s">
        <v>28</v>
      </c>
      <c r="B26" s="246"/>
      <c r="C26" s="246"/>
      <c r="D26" s="246"/>
      <c r="E26" s="269"/>
      <c r="F26" s="67"/>
      <c r="G26" s="197"/>
    </row>
    <row r="27" spans="1:7" ht="24.95" customHeight="1" x14ac:dyDescent="0.3">
      <c r="A27" s="141">
        <f>SUM(D26:D27)</f>
        <v>0</v>
      </c>
      <c r="B27" s="247"/>
      <c r="C27" s="247"/>
      <c r="D27" s="247"/>
      <c r="E27" s="267"/>
      <c r="F27" s="90"/>
      <c r="G27" s="184"/>
    </row>
    <row r="28" spans="1:7" ht="24.95" customHeight="1" x14ac:dyDescent="0.3">
      <c r="A28" s="243" t="s">
        <v>54</v>
      </c>
      <c r="B28" s="137"/>
      <c r="C28" s="145"/>
      <c r="D28" s="145"/>
      <c r="E28" s="138"/>
      <c r="F28" s="189"/>
      <c r="G28" s="191"/>
    </row>
    <row r="29" spans="1:7" ht="24.95" customHeight="1" x14ac:dyDescent="0.3">
      <c r="A29" s="243"/>
      <c r="B29" s="137"/>
      <c r="C29" s="145"/>
      <c r="D29" s="145"/>
      <c r="E29" s="138"/>
      <c r="F29" s="189"/>
      <c r="G29" s="191"/>
    </row>
    <row r="30" spans="1:7" ht="24.95" customHeight="1" x14ac:dyDescent="0.3">
      <c r="A30" s="141">
        <f>SUM(D28:D30)</f>
        <v>0</v>
      </c>
      <c r="B30" s="138"/>
      <c r="C30" s="90"/>
      <c r="D30" s="145"/>
      <c r="E30" s="138"/>
      <c r="F30" s="189"/>
      <c r="G30" s="191"/>
    </row>
    <row r="31" spans="1:7" ht="24.95" customHeight="1" x14ac:dyDescent="0.3">
      <c r="A31" s="144" t="s">
        <v>17</v>
      </c>
      <c r="B31" s="240"/>
      <c r="C31" s="247"/>
      <c r="D31" s="247"/>
      <c r="E31" s="240"/>
      <c r="F31" s="189"/>
      <c r="G31" s="191"/>
    </row>
    <row r="32" spans="1:7" ht="24.95" customHeight="1" x14ac:dyDescent="0.3">
      <c r="A32" s="144">
        <f>SUM(D31:D32)</f>
        <v>0</v>
      </c>
      <c r="B32" s="240"/>
      <c r="C32" s="247"/>
      <c r="D32" s="247"/>
      <c r="E32" s="240"/>
      <c r="F32" s="189"/>
      <c r="G32" s="191"/>
    </row>
    <row r="33" spans="1:10" ht="24.95" customHeight="1" x14ac:dyDescent="0.3">
      <c r="A33" s="238" t="s">
        <v>27</v>
      </c>
      <c r="B33" s="137"/>
      <c r="C33" s="137"/>
      <c r="D33" s="136"/>
      <c r="E33" s="138"/>
      <c r="F33" s="189"/>
      <c r="G33" s="191"/>
    </row>
    <row r="34" spans="1:10" ht="24.95" customHeight="1" x14ac:dyDescent="0.3">
      <c r="A34" s="238"/>
      <c r="B34" s="247"/>
      <c r="C34" s="247"/>
      <c r="D34" s="136"/>
      <c r="E34" s="138"/>
      <c r="F34" s="189"/>
      <c r="G34" s="191"/>
    </row>
    <row r="35" spans="1:10" ht="24.95" customHeight="1" x14ac:dyDescent="0.3">
      <c r="A35" s="238"/>
      <c r="B35" s="247"/>
      <c r="C35" s="247"/>
      <c r="D35" s="136"/>
      <c r="E35" s="138"/>
      <c r="F35" s="189"/>
      <c r="G35" s="191"/>
    </row>
    <row r="36" spans="1:10" ht="24.95" customHeight="1" thickBot="1" x14ac:dyDescent="0.35">
      <c r="A36" s="142">
        <f>SUM(D33:D36)</f>
        <v>0</v>
      </c>
      <c r="B36" s="248"/>
      <c r="C36" s="248"/>
      <c r="D36" s="143"/>
      <c r="E36" s="102"/>
      <c r="F36" s="195"/>
      <c r="G36" s="196"/>
      <c r="J36" s="84"/>
    </row>
    <row r="37" spans="1:10" ht="24.95" customHeight="1" thickBot="1" x14ac:dyDescent="0.35">
      <c r="A37" s="252" t="s">
        <v>104</v>
      </c>
      <c r="B37" s="252"/>
      <c r="C37" s="68"/>
      <c r="D37" s="69"/>
      <c r="E37" s="69"/>
      <c r="F37" s="70"/>
      <c r="G37" s="21"/>
    </row>
    <row r="38" spans="1:10" ht="24.95" customHeight="1" x14ac:dyDescent="0.3">
      <c r="A38" s="253" t="s">
        <v>13</v>
      </c>
      <c r="B38" s="255" t="s">
        <v>100</v>
      </c>
      <c r="C38" s="255" t="s">
        <v>8</v>
      </c>
      <c r="D38" s="250" t="s">
        <v>78</v>
      </c>
      <c r="E38" s="250" t="s">
        <v>79</v>
      </c>
      <c r="F38" s="100" t="s">
        <v>91</v>
      </c>
      <c r="G38" s="101">
        <f>SUM(G40:G44)</f>
        <v>0</v>
      </c>
    </row>
    <row r="39" spans="1:10" ht="24.95" customHeight="1" thickBot="1" x14ac:dyDescent="0.35">
      <c r="A39" s="254"/>
      <c r="B39" s="256"/>
      <c r="C39" s="256"/>
      <c r="D39" s="251"/>
      <c r="E39" s="251"/>
      <c r="F39" s="103" t="s">
        <v>133</v>
      </c>
      <c r="G39" s="104">
        <f>SUM(G40:G43)</f>
        <v>0</v>
      </c>
    </row>
    <row r="40" spans="1:10" ht="24.95" customHeight="1" thickTop="1" x14ac:dyDescent="0.3">
      <c r="A40" s="257">
        <f>B24</f>
        <v>0</v>
      </c>
      <c r="B40" s="260">
        <f>G38</f>
        <v>0</v>
      </c>
      <c r="C40" s="246"/>
      <c r="D40" s="260">
        <f>A40-C40</f>
        <v>0</v>
      </c>
      <c r="E40" s="246">
        <f>B40-C40</f>
        <v>0</v>
      </c>
      <c r="F40" s="128" t="s">
        <v>28</v>
      </c>
      <c r="G40" s="149"/>
    </row>
    <row r="41" spans="1:10" ht="24.95" customHeight="1" x14ac:dyDescent="0.3">
      <c r="A41" s="258"/>
      <c r="B41" s="261"/>
      <c r="C41" s="247"/>
      <c r="D41" s="261"/>
      <c r="E41" s="247"/>
      <c r="F41" s="138" t="s">
        <v>54</v>
      </c>
      <c r="G41" s="150"/>
    </row>
    <row r="42" spans="1:10" ht="24.95" customHeight="1" x14ac:dyDescent="0.3">
      <c r="A42" s="258"/>
      <c r="B42" s="261"/>
      <c r="C42" s="247"/>
      <c r="D42" s="261"/>
      <c r="E42" s="247"/>
      <c r="F42" s="138" t="s">
        <v>17</v>
      </c>
      <c r="G42" s="150"/>
    </row>
    <row r="43" spans="1:10" ht="24.95" customHeight="1" x14ac:dyDescent="0.3">
      <c r="A43" s="258"/>
      <c r="B43" s="261"/>
      <c r="C43" s="247"/>
      <c r="D43" s="261"/>
      <c r="E43" s="247"/>
      <c r="F43" s="138" t="s">
        <v>51</v>
      </c>
      <c r="G43" s="150"/>
    </row>
    <row r="44" spans="1:10" ht="24.95" customHeight="1" thickBot="1" x14ac:dyDescent="0.35">
      <c r="A44" s="259"/>
      <c r="B44" s="262"/>
      <c r="C44" s="248"/>
      <c r="D44" s="262"/>
      <c r="E44" s="248"/>
      <c r="F44" s="102" t="s">
        <v>101</v>
      </c>
      <c r="G44" s="152"/>
    </row>
  </sheetData>
  <mergeCells count="42">
    <mergeCell ref="D40:D44"/>
    <mergeCell ref="E40:E44"/>
    <mergeCell ref="A38:A39"/>
    <mergeCell ref="B38:B39"/>
    <mergeCell ref="C38:C39"/>
    <mergeCell ref="D38:D39"/>
    <mergeCell ref="E38:E39"/>
    <mergeCell ref="A40:A44"/>
    <mergeCell ref="B40:B44"/>
    <mergeCell ref="C40:C44"/>
    <mergeCell ref="A22:G22"/>
    <mergeCell ref="A37:B37"/>
    <mergeCell ref="A28:A29"/>
    <mergeCell ref="B26:B27"/>
    <mergeCell ref="C26:C27"/>
    <mergeCell ref="A33:A35"/>
    <mergeCell ref="C34:C36"/>
    <mergeCell ref="B34:B36"/>
    <mergeCell ref="C31:C32"/>
    <mergeCell ref="B31:B32"/>
    <mergeCell ref="E31:E32"/>
    <mergeCell ref="D31:D32"/>
    <mergeCell ref="F25:G25"/>
    <mergeCell ref="D26:D27"/>
    <mergeCell ref="E26:E27"/>
    <mergeCell ref="C20:C21"/>
    <mergeCell ref="B20:B21"/>
    <mergeCell ref="A19:A20"/>
    <mergeCell ref="F1:G1"/>
    <mergeCell ref="A2:G2"/>
    <mergeCell ref="F6:G6"/>
    <mergeCell ref="B11:B14"/>
    <mergeCell ref="C11:C14"/>
    <mergeCell ref="C1:E1"/>
    <mergeCell ref="A3:B3"/>
    <mergeCell ref="A9:A15"/>
    <mergeCell ref="E7:E8"/>
    <mergeCell ref="D7:D8"/>
    <mergeCell ref="C7:C8"/>
    <mergeCell ref="B7:B8"/>
    <mergeCell ref="C9:C10"/>
    <mergeCell ref="B9:B10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8"/>
  <sheetViews>
    <sheetView topLeftCell="A31" zoomScaleNormal="100" workbookViewId="0">
      <selection activeCell="K51" sqref="K51"/>
    </sheetView>
  </sheetViews>
  <sheetFormatPr defaultRowHeight="24.95" customHeight="1" x14ac:dyDescent="0.3"/>
  <cols>
    <col min="1" max="1" width="13.375" style="1" customWidth="1"/>
    <col min="2" max="2" width="14" style="1" customWidth="1"/>
    <col min="3" max="3" width="11.375" style="1" customWidth="1"/>
    <col min="4" max="4" width="15" style="2" customWidth="1"/>
    <col min="5" max="5" width="19.25" style="1" customWidth="1"/>
    <col min="6" max="6" width="16.75" style="1" customWidth="1"/>
    <col min="7" max="7" width="14.875" style="1" customWidth="1"/>
    <col min="8" max="16384" width="9" style="1"/>
  </cols>
  <sheetData>
    <row r="1" spans="1:7" ht="24.95" customHeight="1" x14ac:dyDescent="0.25">
      <c r="A1" s="204"/>
      <c r="B1" s="204"/>
      <c r="C1" s="234" t="s">
        <v>149</v>
      </c>
      <c r="D1" s="234"/>
      <c r="E1" s="234"/>
      <c r="F1" s="235" t="s">
        <v>58</v>
      </c>
      <c r="G1" s="235"/>
    </row>
    <row r="2" spans="1:7" ht="24.95" customHeight="1" x14ac:dyDescent="0.3">
      <c r="A2" s="221" t="s">
        <v>102</v>
      </c>
      <c r="B2" s="221"/>
      <c r="C2" s="221"/>
      <c r="D2" s="221"/>
      <c r="E2" s="221"/>
      <c r="F2" s="221"/>
    </row>
    <row r="3" spans="1:7" ht="24.95" customHeight="1" x14ac:dyDescent="0.3">
      <c r="A3" s="221" t="s">
        <v>9</v>
      </c>
      <c r="B3" s="221"/>
      <c r="C3" s="3"/>
      <c r="D3" s="4"/>
      <c r="E3" s="5"/>
      <c r="F3" s="5"/>
    </row>
    <row r="4" spans="1:7" ht="24.95" customHeight="1" x14ac:dyDescent="0.3">
      <c r="A4" s="74" t="s">
        <v>59</v>
      </c>
      <c r="B4" s="56">
        <f>SUM(C7:C21)</f>
        <v>0</v>
      </c>
      <c r="C4" s="3"/>
      <c r="D4" s="4"/>
      <c r="E4" s="5"/>
      <c r="F4" s="5"/>
    </row>
    <row r="5" spans="1:7" ht="24.95" customHeight="1" thickBot="1" x14ac:dyDescent="0.35">
      <c r="A5" s="74" t="s">
        <v>60</v>
      </c>
      <c r="B5" s="56">
        <f>SUM(A8,A16,A18,A21)</f>
        <v>0</v>
      </c>
      <c r="C5" s="3"/>
      <c r="D5" s="4"/>
      <c r="E5" s="5"/>
      <c r="F5" s="5"/>
    </row>
    <row r="6" spans="1:7" ht="24.95" customHeight="1" thickBot="1" x14ac:dyDescent="0.35">
      <c r="A6" s="94" t="s">
        <v>2</v>
      </c>
      <c r="B6" s="95" t="s">
        <v>3</v>
      </c>
      <c r="C6" s="95" t="s">
        <v>4</v>
      </c>
      <c r="D6" s="96" t="s">
        <v>5</v>
      </c>
      <c r="E6" s="148" t="s">
        <v>6</v>
      </c>
      <c r="F6" s="211" t="s">
        <v>7</v>
      </c>
      <c r="G6" s="212"/>
    </row>
    <row r="7" spans="1:7" ht="24.95" customHeight="1" thickTop="1" x14ac:dyDescent="0.3">
      <c r="A7" s="139" t="s">
        <v>28</v>
      </c>
      <c r="B7" s="246"/>
      <c r="C7" s="246"/>
      <c r="D7" s="246"/>
      <c r="E7" s="269"/>
      <c r="F7" s="67"/>
      <c r="G7" s="197"/>
    </row>
    <row r="8" spans="1:7" ht="24.95" customHeight="1" x14ac:dyDescent="0.3">
      <c r="A8" s="141">
        <f>SUM(D7:D8)</f>
        <v>0</v>
      </c>
      <c r="B8" s="247"/>
      <c r="C8" s="247"/>
      <c r="D8" s="247"/>
      <c r="E8" s="267"/>
      <c r="F8" s="90"/>
      <c r="G8" s="184"/>
    </row>
    <row r="9" spans="1:7" ht="24.95" customHeight="1" x14ac:dyDescent="0.3">
      <c r="A9" s="243" t="s">
        <v>54</v>
      </c>
      <c r="B9" s="247"/>
      <c r="C9" s="247"/>
      <c r="D9" s="137"/>
      <c r="E9" s="136"/>
      <c r="F9" s="90"/>
      <c r="G9" s="184"/>
    </row>
    <row r="10" spans="1:7" ht="24.95" customHeight="1" x14ac:dyDescent="0.3">
      <c r="A10" s="243"/>
      <c r="B10" s="247"/>
      <c r="C10" s="247"/>
      <c r="D10" s="137"/>
      <c r="E10" s="136"/>
      <c r="F10" s="90"/>
      <c r="G10" s="184"/>
    </row>
    <row r="11" spans="1:7" ht="24.95" customHeight="1" x14ac:dyDescent="0.3">
      <c r="A11" s="243"/>
      <c r="B11" s="247"/>
      <c r="C11" s="247"/>
      <c r="D11" s="137"/>
      <c r="E11" s="136"/>
      <c r="F11" s="90"/>
      <c r="G11" s="184"/>
    </row>
    <row r="12" spans="1:7" ht="24.95" customHeight="1" x14ac:dyDescent="0.3">
      <c r="A12" s="243"/>
      <c r="B12" s="247"/>
      <c r="C12" s="247"/>
      <c r="D12" s="137"/>
      <c r="E12" s="136"/>
      <c r="F12" s="90"/>
      <c r="G12" s="184"/>
    </row>
    <row r="13" spans="1:7" ht="24.95" customHeight="1" x14ac:dyDescent="0.3">
      <c r="A13" s="243"/>
      <c r="B13" s="247"/>
      <c r="C13" s="247"/>
      <c r="D13" s="137"/>
      <c r="E13" s="136"/>
      <c r="F13" s="90"/>
      <c r="G13" s="184"/>
    </row>
    <row r="14" spans="1:7" ht="24.95" customHeight="1" x14ac:dyDescent="0.3">
      <c r="A14" s="243"/>
      <c r="B14" s="247"/>
      <c r="C14" s="247"/>
      <c r="D14" s="137"/>
      <c r="E14" s="136"/>
      <c r="F14" s="90"/>
      <c r="G14" s="184"/>
    </row>
    <row r="15" spans="1:7" ht="24.95" customHeight="1" x14ac:dyDescent="0.3">
      <c r="A15" s="243"/>
      <c r="B15" s="137"/>
      <c r="C15" s="137"/>
      <c r="D15" s="137"/>
      <c r="E15" s="136"/>
      <c r="F15" s="90"/>
      <c r="G15" s="184"/>
    </row>
    <row r="16" spans="1:7" ht="24.95" customHeight="1" x14ac:dyDescent="0.3">
      <c r="A16" s="141">
        <f>SUM(D9:D16)</f>
        <v>0</v>
      </c>
      <c r="B16" s="137"/>
      <c r="C16" s="145"/>
      <c r="D16" s="145"/>
      <c r="E16" s="138"/>
      <c r="F16" s="189"/>
      <c r="G16" s="191"/>
    </row>
    <row r="17" spans="1:7" ht="24.95" customHeight="1" x14ac:dyDescent="0.3">
      <c r="A17" s="144" t="s">
        <v>17</v>
      </c>
      <c r="B17" s="247"/>
      <c r="C17" s="247"/>
      <c r="D17" s="247"/>
      <c r="E17" s="267"/>
      <c r="F17" s="90"/>
      <c r="G17" s="184"/>
    </row>
    <row r="18" spans="1:7" ht="24.95" customHeight="1" x14ac:dyDescent="0.3">
      <c r="A18" s="144">
        <f>SUM(D17:D18)</f>
        <v>0</v>
      </c>
      <c r="B18" s="247"/>
      <c r="C18" s="247"/>
      <c r="D18" s="247"/>
      <c r="E18" s="267"/>
      <c r="F18" s="90"/>
      <c r="G18" s="184"/>
    </row>
    <row r="19" spans="1:7" ht="24.95" customHeight="1" x14ac:dyDescent="0.3">
      <c r="A19" s="238" t="s">
        <v>27</v>
      </c>
      <c r="B19" s="247"/>
      <c r="C19" s="247"/>
      <c r="D19" s="145"/>
      <c r="E19" s="138"/>
      <c r="F19" s="189"/>
      <c r="G19" s="191"/>
    </row>
    <row r="20" spans="1:7" ht="24.95" customHeight="1" x14ac:dyDescent="0.3">
      <c r="A20" s="238"/>
      <c r="B20" s="247"/>
      <c r="C20" s="247"/>
      <c r="D20" s="145"/>
      <c r="E20" s="138"/>
      <c r="F20" s="189"/>
      <c r="G20" s="191"/>
    </row>
    <row r="21" spans="1:7" ht="24.95" customHeight="1" thickBot="1" x14ac:dyDescent="0.35">
      <c r="A21" s="142">
        <f>SUM(D19:D21)</f>
        <v>0</v>
      </c>
      <c r="B21" s="248"/>
      <c r="C21" s="248"/>
      <c r="D21" s="143"/>
      <c r="E21" s="102"/>
      <c r="F21" s="195"/>
      <c r="G21" s="196"/>
    </row>
    <row r="22" spans="1:7" ht="24.95" customHeight="1" x14ac:dyDescent="0.3">
      <c r="A22" s="221" t="s">
        <v>65</v>
      </c>
      <c r="B22" s="221"/>
      <c r="C22" s="3"/>
      <c r="D22" s="4"/>
      <c r="E22" s="5"/>
      <c r="F22" s="5"/>
    </row>
    <row r="23" spans="1:7" ht="24.95" customHeight="1" x14ac:dyDescent="0.3">
      <c r="A23" s="74" t="s">
        <v>62</v>
      </c>
      <c r="B23" s="9">
        <f>SUM(C26:C40)</f>
        <v>0</v>
      </c>
      <c r="C23" s="3"/>
      <c r="D23" s="4"/>
      <c r="E23" s="5"/>
      <c r="F23" s="5"/>
    </row>
    <row r="24" spans="1:7" ht="24.95" customHeight="1" thickBot="1" x14ac:dyDescent="0.35">
      <c r="A24" s="74" t="s">
        <v>63</v>
      </c>
      <c r="B24" s="9">
        <f>SUM(A27,A34,A36,A40)</f>
        <v>0</v>
      </c>
      <c r="C24" s="3"/>
      <c r="D24" s="4"/>
      <c r="E24" s="5"/>
      <c r="F24" s="5"/>
    </row>
    <row r="25" spans="1:7" ht="24.95" customHeight="1" thickBot="1" x14ac:dyDescent="0.35">
      <c r="A25" s="94" t="s">
        <v>2</v>
      </c>
      <c r="B25" s="95" t="s">
        <v>3</v>
      </c>
      <c r="C25" s="95" t="s">
        <v>4</v>
      </c>
      <c r="D25" s="96" t="s">
        <v>64</v>
      </c>
      <c r="E25" s="148" t="s">
        <v>6</v>
      </c>
      <c r="F25" s="211" t="s">
        <v>7</v>
      </c>
      <c r="G25" s="212"/>
    </row>
    <row r="26" spans="1:7" ht="24.95" customHeight="1" thickTop="1" x14ac:dyDescent="0.3">
      <c r="A26" s="139" t="s">
        <v>28</v>
      </c>
      <c r="B26" s="246"/>
      <c r="C26" s="246"/>
      <c r="D26" s="246"/>
      <c r="E26" s="269"/>
      <c r="F26" s="67"/>
      <c r="G26" s="197"/>
    </row>
    <row r="27" spans="1:7" ht="24.95" customHeight="1" x14ac:dyDescent="0.3">
      <c r="A27" s="141">
        <f>SUM(D26:D27)</f>
        <v>0</v>
      </c>
      <c r="B27" s="247"/>
      <c r="C27" s="247"/>
      <c r="D27" s="247"/>
      <c r="E27" s="267"/>
      <c r="F27" s="90"/>
      <c r="G27" s="184"/>
    </row>
    <row r="28" spans="1:7" ht="24.95" customHeight="1" x14ac:dyDescent="0.3">
      <c r="A28" s="243" t="s">
        <v>54</v>
      </c>
      <c r="B28" s="247"/>
      <c r="C28" s="247"/>
      <c r="D28" s="145"/>
      <c r="E28" s="138"/>
      <c r="F28" s="189"/>
      <c r="G28" s="191"/>
    </row>
    <row r="29" spans="1:7" ht="24.95" customHeight="1" x14ac:dyDescent="0.3">
      <c r="A29" s="243"/>
      <c r="B29" s="247"/>
      <c r="C29" s="247"/>
      <c r="D29" s="145"/>
      <c r="E29" s="138"/>
      <c r="F29" s="189"/>
      <c r="G29" s="191"/>
    </row>
    <row r="30" spans="1:7" ht="24.95" customHeight="1" x14ac:dyDescent="0.3">
      <c r="A30" s="243"/>
      <c r="B30" s="247"/>
      <c r="C30" s="247"/>
      <c r="D30" s="145"/>
      <c r="E30" s="138"/>
      <c r="F30" s="189"/>
      <c r="G30" s="191"/>
    </row>
    <row r="31" spans="1:7" ht="24.95" customHeight="1" x14ac:dyDescent="0.3">
      <c r="A31" s="243"/>
      <c r="B31" s="247"/>
      <c r="C31" s="247"/>
      <c r="D31" s="145"/>
      <c r="E31" s="138"/>
      <c r="F31" s="189"/>
      <c r="G31" s="191"/>
    </row>
    <row r="32" spans="1:7" ht="24.95" customHeight="1" x14ac:dyDescent="0.3">
      <c r="A32" s="243"/>
      <c r="B32" s="247"/>
      <c r="C32" s="247"/>
      <c r="D32" s="145"/>
      <c r="E32" s="138"/>
      <c r="F32" s="189"/>
      <c r="G32" s="191"/>
    </row>
    <row r="33" spans="1:7" ht="24.95" customHeight="1" x14ac:dyDescent="0.3">
      <c r="A33" s="243"/>
      <c r="B33" s="247"/>
      <c r="C33" s="247"/>
      <c r="D33" s="145"/>
      <c r="E33" s="138"/>
      <c r="F33" s="189"/>
      <c r="G33" s="191"/>
    </row>
    <row r="34" spans="1:7" ht="24.95" customHeight="1" x14ac:dyDescent="0.3">
      <c r="A34" s="141">
        <f>SUM(D28:D34)</f>
        <v>0</v>
      </c>
      <c r="B34" s="138"/>
      <c r="C34" s="90"/>
      <c r="D34" s="145"/>
      <c r="E34" s="138"/>
      <c r="F34" s="189"/>
      <c r="G34" s="191"/>
    </row>
    <row r="35" spans="1:7" ht="24.95" customHeight="1" x14ac:dyDescent="0.3">
      <c r="A35" s="144" t="s">
        <v>17</v>
      </c>
      <c r="B35" s="240"/>
      <c r="C35" s="247"/>
      <c r="D35" s="247"/>
      <c r="E35" s="240"/>
      <c r="F35" s="189"/>
      <c r="G35" s="191"/>
    </row>
    <row r="36" spans="1:7" ht="24.95" customHeight="1" x14ac:dyDescent="0.3">
      <c r="A36" s="144">
        <f>SUM(D35:D36)</f>
        <v>0</v>
      </c>
      <c r="B36" s="240"/>
      <c r="C36" s="247"/>
      <c r="D36" s="247"/>
      <c r="E36" s="240"/>
      <c r="F36" s="189"/>
      <c r="G36" s="191"/>
    </row>
    <row r="37" spans="1:7" ht="24.95" customHeight="1" x14ac:dyDescent="0.3">
      <c r="A37" s="238" t="s">
        <v>27</v>
      </c>
      <c r="B37" s="247"/>
      <c r="C37" s="247"/>
      <c r="D37" s="136"/>
      <c r="E37" s="138"/>
      <c r="F37" s="189"/>
      <c r="G37" s="191"/>
    </row>
    <row r="38" spans="1:7" ht="24.95" customHeight="1" x14ac:dyDescent="0.3">
      <c r="A38" s="238"/>
      <c r="B38" s="247"/>
      <c r="C38" s="247"/>
      <c r="D38" s="136"/>
      <c r="E38" s="138"/>
      <c r="F38" s="189"/>
      <c r="G38" s="191"/>
    </row>
    <row r="39" spans="1:7" ht="24.95" customHeight="1" x14ac:dyDescent="0.3">
      <c r="A39" s="238"/>
      <c r="B39" s="247"/>
      <c r="C39" s="247"/>
      <c r="D39" s="136"/>
      <c r="E39" s="138"/>
      <c r="F39" s="189"/>
      <c r="G39" s="191"/>
    </row>
    <row r="40" spans="1:7" ht="24.95" customHeight="1" thickBot="1" x14ac:dyDescent="0.35">
      <c r="A40" s="142">
        <f>SUM(D37:D40)</f>
        <v>0</v>
      </c>
      <c r="B40" s="143"/>
      <c r="C40" s="143"/>
      <c r="D40" s="146"/>
      <c r="E40" s="102"/>
      <c r="F40" s="195"/>
      <c r="G40" s="196"/>
    </row>
    <row r="41" spans="1:7" ht="24.95" customHeight="1" thickBot="1" x14ac:dyDescent="0.35">
      <c r="A41" s="252" t="s">
        <v>103</v>
      </c>
      <c r="B41" s="252"/>
      <c r="C41" s="68"/>
      <c r="D41" s="69"/>
      <c r="E41" s="69"/>
      <c r="F41" s="70"/>
      <c r="G41" s="21"/>
    </row>
    <row r="42" spans="1:7" ht="24.95" customHeight="1" x14ac:dyDescent="0.3">
      <c r="A42" s="253" t="s">
        <v>13</v>
      </c>
      <c r="B42" s="255" t="s">
        <v>105</v>
      </c>
      <c r="C42" s="255" t="s">
        <v>8</v>
      </c>
      <c r="D42" s="250" t="s">
        <v>78</v>
      </c>
      <c r="E42" s="250" t="s">
        <v>79</v>
      </c>
      <c r="F42" s="100" t="s">
        <v>91</v>
      </c>
      <c r="G42" s="101">
        <f>SUM(G44:G48)</f>
        <v>0</v>
      </c>
    </row>
    <row r="43" spans="1:7" ht="24.95" customHeight="1" thickBot="1" x14ac:dyDescent="0.35">
      <c r="A43" s="254"/>
      <c r="B43" s="256"/>
      <c r="C43" s="256"/>
      <c r="D43" s="251"/>
      <c r="E43" s="251"/>
      <c r="F43" s="103" t="s">
        <v>133</v>
      </c>
      <c r="G43" s="104">
        <f>SUM(G44:G47)</f>
        <v>0</v>
      </c>
    </row>
    <row r="44" spans="1:7" ht="24.95" customHeight="1" thickTop="1" x14ac:dyDescent="0.3">
      <c r="A44" s="257">
        <f>B24</f>
        <v>0</v>
      </c>
      <c r="B44" s="260">
        <f>G42</f>
        <v>0</v>
      </c>
      <c r="C44" s="246"/>
      <c r="D44" s="260">
        <f>A44-C44</f>
        <v>0</v>
      </c>
      <c r="E44" s="246">
        <f>B44-C44</f>
        <v>0</v>
      </c>
      <c r="F44" s="128" t="s">
        <v>28</v>
      </c>
      <c r="G44" s="149"/>
    </row>
    <row r="45" spans="1:7" ht="24.95" customHeight="1" x14ac:dyDescent="0.3">
      <c r="A45" s="258"/>
      <c r="B45" s="261"/>
      <c r="C45" s="247"/>
      <c r="D45" s="261"/>
      <c r="E45" s="247"/>
      <c r="F45" s="138" t="s">
        <v>54</v>
      </c>
      <c r="G45" s="150"/>
    </row>
    <row r="46" spans="1:7" ht="24.95" customHeight="1" x14ac:dyDescent="0.3">
      <c r="A46" s="258"/>
      <c r="B46" s="261"/>
      <c r="C46" s="247"/>
      <c r="D46" s="261"/>
      <c r="E46" s="247"/>
      <c r="F46" s="138" t="s">
        <v>17</v>
      </c>
      <c r="G46" s="150"/>
    </row>
    <row r="47" spans="1:7" ht="24.95" customHeight="1" x14ac:dyDescent="0.3">
      <c r="A47" s="258"/>
      <c r="B47" s="261"/>
      <c r="C47" s="247"/>
      <c r="D47" s="261"/>
      <c r="E47" s="247"/>
      <c r="F47" s="138" t="s">
        <v>51</v>
      </c>
      <c r="G47" s="150"/>
    </row>
    <row r="48" spans="1:7" ht="24.95" customHeight="1" thickBot="1" x14ac:dyDescent="0.35">
      <c r="A48" s="259"/>
      <c r="B48" s="262"/>
      <c r="C48" s="248"/>
      <c r="D48" s="262"/>
      <c r="E48" s="248"/>
      <c r="F48" s="102" t="s">
        <v>135</v>
      </c>
      <c r="G48" s="152"/>
    </row>
  </sheetData>
  <mergeCells count="48">
    <mergeCell ref="E17:E18"/>
    <mergeCell ref="D17:D18"/>
    <mergeCell ref="B7:B8"/>
    <mergeCell ref="C7:C8"/>
    <mergeCell ref="D7:D8"/>
    <mergeCell ref="E7:E8"/>
    <mergeCell ref="F25:G25"/>
    <mergeCell ref="B28:B31"/>
    <mergeCell ref="C28:C31"/>
    <mergeCell ref="E35:E36"/>
    <mergeCell ref="D35:D36"/>
    <mergeCell ref="A19:A20"/>
    <mergeCell ref="B17:B18"/>
    <mergeCell ref="C17:C18"/>
    <mergeCell ref="C19:C21"/>
    <mergeCell ref="B19:B21"/>
    <mergeCell ref="A22:B22"/>
    <mergeCell ref="B26:B27"/>
    <mergeCell ref="C26:C27"/>
    <mergeCell ref="D26:D27"/>
    <mergeCell ref="E26:E27"/>
    <mergeCell ref="E42:E43"/>
    <mergeCell ref="A37:A39"/>
    <mergeCell ref="D42:D43"/>
    <mergeCell ref="B37:B39"/>
    <mergeCell ref="C37:C39"/>
    <mergeCell ref="A41:B41"/>
    <mergeCell ref="A42:A43"/>
    <mergeCell ref="B42:B43"/>
    <mergeCell ref="C42:C43"/>
    <mergeCell ref="B35:B36"/>
    <mergeCell ref="C35:C36"/>
    <mergeCell ref="A28:A33"/>
    <mergeCell ref="C32:C33"/>
    <mergeCell ref="B32:B33"/>
    <mergeCell ref="A44:A48"/>
    <mergeCell ref="B44:B48"/>
    <mergeCell ref="C44:C48"/>
    <mergeCell ref="D44:D48"/>
    <mergeCell ref="E44:E48"/>
    <mergeCell ref="C1:E1"/>
    <mergeCell ref="A2:F2"/>
    <mergeCell ref="A3:B3"/>
    <mergeCell ref="B9:B14"/>
    <mergeCell ref="C9:C14"/>
    <mergeCell ref="F6:G6"/>
    <mergeCell ref="A9:A15"/>
    <mergeCell ref="F1:G1"/>
  </mergeCells>
  <phoneticPr fontId="1" type="noConversion"/>
  <printOptions horizontalCentered="1"/>
  <pageMargins left="0.23622047244094491" right="0.23622047244094491" top="0.59055118110236227" bottom="0.19685039370078741" header="0.31496062992125984" footer="0.19685039370078741"/>
  <pageSetup paperSize="9" scale="6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9"/>
  <sheetViews>
    <sheetView zoomScaleNormal="100" workbookViewId="0">
      <selection activeCell="M38" sqref="M38"/>
    </sheetView>
  </sheetViews>
  <sheetFormatPr defaultRowHeight="15.75" x14ac:dyDescent="0.3"/>
  <cols>
    <col min="1" max="1" width="12.25" style="1" customWidth="1"/>
    <col min="2" max="2" width="14.375" style="1" customWidth="1"/>
    <col min="3" max="3" width="13.125" style="1" customWidth="1"/>
    <col min="4" max="4" width="13.125" style="2" customWidth="1"/>
    <col min="5" max="5" width="15.875" style="1" customWidth="1"/>
    <col min="6" max="7" width="19.25" style="1" customWidth="1"/>
    <col min="8" max="16384" width="9" style="1"/>
  </cols>
  <sheetData>
    <row r="1" spans="1:7" ht="33" customHeight="1" x14ac:dyDescent="0.25">
      <c r="A1" s="10"/>
      <c r="B1" s="55"/>
      <c r="C1" s="234" t="s">
        <v>61</v>
      </c>
      <c r="D1" s="234"/>
      <c r="E1" s="234"/>
      <c r="F1" s="235" t="s">
        <v>58</v>
      </c>
      <c r="G1" s="235"/>
    </row>
    <row r="2" spans="1:7" ht="20.100000000000001" customHeight="1" x14ac:dyDescent="0.3">
      <c r="A2" s="221" t="s">
        <v>106</v>
      </c>
      <c r="B2" s="221"/>
      <c r="C2" s="221"/>
      <c r="D2" s="221"/>
      <c r="E2" s="221"/>
      <c r="F2" s="221"/>
    </row>
    <row r="3" spans="1:7" ht="20.100000000000001" customHeight="1" x14ac:dyDescent="0.3">
      <c r="A3" s="221" t="s">
        <v>9</v>
      </c>
      <c r="B3" s="221"/>
      <c r="C3" s="3"/>
      <c r="D3" s="4"/>
      <c r="E3" s="5"/>
      <c r="F3" s="5"/>
    </row>
    <row r="4" spans="1:7" ht="20.100000000000001" customHeight="1" x14ac:dyDescent="0.3">
      <c r="A4" s="75" t="s">
        <v>59</v>
      </c>
      <c r="B4" s="56">
        <f>SUM(C7:C16)</f>
        <v>0</v>
      </c>
      <c r="C4" s="3"/>
      <c r="D4" s="4"/>
      <c r="E4" s="5"/>
      <c r="F4" s="5"/>
    </row>
    <row r="5" spans="1:7" ht="20.100000000000001" customHeight="1" thickBot="1" x14ac:dyDescent="0.35">
      <c r="A5" s="75" t="s">
        <v>60</v>
      </c>
      <c r="B5" s="56">
        <f>SUM(A8,A11,A13,A16)</f>
        <v>0</v>
      </c>
      <c r="C5" s="3"/>
      <c r="D5" s="4"/>
      <c r="E5" s="5"/>
      <c r="F5" s="5"/>
    </row>
    <row r="6" spans="1:7" ht="24.95" customHeight="1" thickBot="1" x14ac:dyDescent="0.35">
      <c r="A6" s="94" t="s">
        <v>2</v>
      </c>
      <c r="B6" s="95" t="s">
        <v>3</v>
      </c>
      <c r="C6" s="95" t="s">
        <v>4</v>
      </c>
      <c r="D6" s="96" t="s">
        <v>5</v>
      </c>
      <c r="E6" s="148" t="s">
        <v>6</v>
      </c>
      <c r="F6" s="211" t="s">
        <v>7</v>
      </c>
      <c r="G6" s="212"/>
    </row>
    <row r="7" spans="1:7" ht="27" customHeight="1" thickTop="1" x14ac:dyDescent="0.3">
      <c r="A7" s="139" t="s">
        <v>112</v>
      </c>
      <c r="B7" s="129"/>
      <c r="C7" s="130"/>
      <c r="D7" s="130"/>
      <c r="E7" s="133"/>
      <c r="F7" s="67"/>
      <c r="G7" s="197"/>
    </row>
    <row r="8" spans="1:7" ht="27" customHeight="1" x14ac:dyDescent="0.3">
      <c r="A8" s="141">
        <f>SUM(D7:D8)</f>
        <v>0</v>
      </c>
      <c r="B8" s="137"/>
      <c r="C8" s="145"/>
      <c r="D8" s="145"/>
      <c r="E8" s="136"/>
      <c r="F8" s="90"/>
      <c r="G8" s="184"/>
    </row>
    <row r="9" spans="1:7" ht="27" customHeight="1" x14ac:dyDescent="0.3">
      <c r="A9" s="243" t="s">
        <v>54</v>
      </c>
      <c r="B9" s="247"/>
      <c r="C9" s="247"/>
      <c r="D9" s="137"/>
      <c r="E9" s="136"/>
      <c r="F9" s="90"/>
      <c r="G9" s="184"/>
    </row>
    <row r="10" spans="1:7" ht="27" customHeight="1" x14ac:dyDescent="0.3">
      <c r="A10" s="243"/>
      <c r="B10" s="247"/>
      <c r="C10" s="247"/>
      <c r="D10" s="145"/>
      <c r="E10" s="138"/>
      <c r="F10" s="189"/>
      <c r="G10" s="191"/>
    </row>
    <row r="11" spans="1:7" ht="27" customHeight="1" x14ac:dyDescent="0.3">
      <c r="A11" s="141">
        <f>SUM(D9:D11)</f>
        <v>0</v>
      </c>
      <c r="B11" s="137"/>
      <c r="C11" s="145"/>
      <c r="D11" s="145"/>
      <c r="E11" s="138"/>
      <c r="F11" s="189"/>
      <c r="G11" s="191"/>
    </row>
    <row r="12" spans="1:7" ht="27" customHeight="1" x14ac:dyDescent="0.3">
      <c r="A12" s="144" t="s">
        <v>17</v>
      </c>
      <c r="B12" s="137"/>
      <c r="C12" s="137"/>
      <c r="D12" s="137"/>
      <c r="E12" s="136"/>
      <c r="F12" s="90"/>
      <c r="G12" s="184"/>
    </row>
    <row r="13" spans="1:7" ht="27" customHeight="1" x14ac:dyDescent="0.3">
      <c r="A13" s="144">
        <f>SUM(D12:D13)</f>
        <v>0</v>
      </c>
      <c r="B13" s="137"/>
      <c r="C13" s="137"/>
      <c r="D13" s="137"/>
      <c r="E13" s="136"/>
      <c r="F13" s="90"/>
      <c r="G13" s="184"/>
    </row>
    <row r="14" spans="1:7" ht="27" customHeight="1" x14ac:dyDescent="0.3">
      <c r="A14" s="238" t="s">
        <v>27</v>
      </c>
      <c r="B14" s="247"/>
      <c r="C14" s="247"/>
      <c r="D14" s="137"/>
      <c r="E14" s="138"/>
      <c r="F14" s="189"/>
      <c r="G14" s="191"/>
    </row>
    <row r="15" spans="1:7" ht="27" customHeight="1" x14ac:dyDescent="0.3">
      <c r="A15" s="238"/>
      <c r="B15" s="247"/>
      <c r="C15" s="247"/>
      <c r="D15" s="137"/>
      <c r="E15" s="138"/>
      <c r="F15" s="189"/>
      <c r="G15" s="191"/>
    </row>
    <row r="16" spans="1:7" ht="27" customHeight="1" thickBot="1" x14ac:dyDescent="0.35">
      <c r="A16" s="142">
        <f>SUM(D14:D16)</f>
        <v>0</v>
      </c>
      <c r="B16" s="248"/>
      <c r="C16" s="248"/>
      <c r="D16" s="143"/>
      <c r="E16" s="102"/>
      <c r="F16" s="195"/>
      <c r="G16" s="196"/>
    </row>
    <row r="17" spans="1:7" ht="20.100000000000001" customHeight="1" x14ac:dyDescent="0.3">
      <c r="A17" s="221" t="s">
        <v>65</v>
      </c>
      <c r="B17" s="221"/>
      <c r="C17" s="3"/>
      <c r="D17" s="4"/>
      <c r="E17" s="5"/>
      <c r="F17" s="5"/>
    </row>
    <row r="18" spans="1:7" ht="20.100000000000001" customHeight="1" x14ac:dyDescent="0.3">
      <c r="A18" s="76" t="s">
        <v>62</v>
      </c>
      <c r="B18" s="56">
        <f>SUM(C21:C32)</f>
        <v>0</v>
      </c>
      <c r="C18" s="3"/>
      <c r="D18" s="4"/>
      <c r="E18" s="5"/>
      <c r="F18" s="5"/>
    </row>
    <row r="19" spans="1:7" ht="20.100000000000001" customHeight="1" thickBot="1" x14ac:dyDescent="0.35">
      <c r="A19" s="76" t="s">
        <v>63</v>
      </c>
      <c r="B19" s="56">
        <f>SUM(A22,A27,A29,A32)</f>
        <v>0</v>
      </c>
      <c r="C19" s="3"/>
      <c r="D19" s="4"/>
      <c r="E19" s="5"/>
      <c r="F19" s="5"/>
    </row>
    <row r="20" spans="1:7" ht="24.95" customHeight="1" thickBot="1" x14ac:dyDescent="0.35">
      <c r="A20" s="94" t="s">
        <v>2</v>
      </c>
      <c r="B20" s="95" t="s">
        <v>3</v>
      </c>
      <c r="C20" s="95" t="s">
        <v>4</v>
      </c>
      <c r="D20" s="96" t="s">
        <v>64</v>
      </c>
      <c r="E20" s="148" t="s">
        <v>6</v>
      </c>
      <c r="F20" s="211" t="s">
        <v>7</v>
      </c>
      <c r="G20" s="212"/>
    </row>
    <row r="21" spans="1:7" ht="27" customHeight="1" thickTop="1" x14ac:dyDescent="0.3">
      <c r="A21" s="139" t="s">
        <v>28</v>
      </c>
      <c r="B21" s="129"/>
      <c r="C21" s="130"/>
      <c r="D21" s="130"/>
      <c r="E21" s="133"/>
      <c r="F21" s="67"/>
      <c r="G21" s="197"/>
    </row>
    <row r="22" spans="1:7" ht="27" customHeight="1" x14ac:dyDescent="0.3">
      <c r="A22" s="141">
        <f>SUM(D21:D22)</f>
        <v>0</v>
      </c>
      <c r="B22" s="137"/>
      <c r="C22" s="137"/>
      <c r="D22" s="145"/>
      <c r="E22" s="136"/>
      <c r="F22" s="90"/>
      <c r="G22" s="184"/>
    </row>
    <row r="23" spans="1:7" ht="27" customHeight="1" x14ac:dyDescent="0.3">
      <c r="A23" s="243" t="s">
        <v>54</v>
      </c>
      <c r="B23" s="247"/>
      <c r="C23" s="247"/>
      <c r="D23" s="145"/>
      <c r="E23" s="138"/>
      <c r="F23" s="189"/>
      <c r="G23" s="191"/>
    </row>
    <row r="24" spans="1:7" ht="27" customHeight="1" x14ac:dyDescent="0.3">
      <c r="A24" s="243"/>
      <c r="B24" s="247"/>
      <c r="C24" s="247"/>
      <c r="D24" s="145"/>
      <c r="E24" s="138"/>
      <c r="F24" s="189"/>
      <c r="G24" s="191"/>
    </row>
    <row r="25" spans="1:7" ht="27" customHeight="1" x14ac:dyDescent="0.3">
      <c r="A25" s="243"/>
      <c r="B25" s="247"/>
      <c r="C25" s="247"/>
      <c r="D25" s="145"/>
      <c r="E25" s="138"/>
      <c r="F25" s="189"/>
      <c r="G25" s="191"/>
    </row>
    <row r="26" spans="1:7" ht="27" customHeight="1" x14ac:dyDescent="0.3">
      <c r="A26" s="243"/>
      <c r="B26" s="247"/>
      <c r="C26" s="247"/>
      <c r="D26" s="145"/>
      <c r="E26" s="138"/>
      <c r="F26" s="189"/>
      <c r="G26" s="191"/>
    </row>
    <row r="27" spans="1:7" ht="27" customHeight="1" x14ac:dyDescent="0.3">
      <c r="A27" s="141">
        <f>SUM(D23:D27)</f>
        <v>0</v>
      </c>
      <c r="B27" s="138"/>
      <c r="C27" s="90"/>
      <c r="D27" s="145"/>
      <c r="E27" s="138"/>
      <c r="F27" s="189"/>
      <c r="G27" s="191"/>
    </row>
    <row r="28" spans="1:7" ht="27" customHeight="1" x14ac:dyDescent="0.3">
      <c r="A28" s="144" t="s">
        <v>17</v>
      </c>
      <c r="B28" s="240"/>
      <c r="C28" s="247"/>
      <c r="D28" s="247"/>
      <c r="E28" s="240"/>
      <c r="F28" s="189"/>
      <c r="G28" s="191"/>
    </row>
    <row r="29" spans="1:7" ht="27" customHeight="1" x14ac:dyDescent="0.3">
      <c r="A29" s="144">
        <f>SUM(D28:D29)</f>
        <v>0</v>
      </c>
      <c r="B29" s="240"/>
      <c r="C29" s="247"/>
      <c r="D29" s="247"/>
      <c r="E29" s="240"/>
      <c r="F29" s="189"/>
      <c r="G29" s="191"/>
    </row>
    <row r="30" spans="1:7" ht="27" customHeight="1" x14ac:dyDescent="0.3">
      <c r="A30" s="238" t="s">
        <v>27</v>
      </c>
      <c r="B30" s="247"/>
      <c r="C30" s="247"/>
      <c r="D30" s="136"/>
      <c r="E30" s="138"/>
      <c r="F30" s="189"/>
      <c r="G30" s="191"/>
    </row>
    <row r="31" spans="1:7" ht="27" customHeight="1" x14ac:dyDescent="0.3">
      <c r="A31" s="238"/>
      <c r="B31" s="247"/>
      <c r="C31" s="247"/>
      <c r="D31" s="136"/>
      <c r="E31" s="138"/>
      <c r="F31" s="189"/>
      <c r="G31" s="191"/>
    </row>
    <row r="32" spans="1:7" ht="27" customHeight="1" thickBot="1" x14ac:dyDescent="0.35">
      <c r="A32" s="142">
        <f>SUM(D30:D32)</f>
        <v>0</v>
      </c>
      <c r="B32" s="143"/>
      <c r="C32" s="146"/>
      <c r="D32" s="146"/>
      <c r="E32" s="102"/>
      <c r="F32" s="195"/>
      <c r="G32" s="196"/>
    </row>
    <row r="33" spans="1:7" ht="20.100000000000001" customHeight="1" thickBot="1" x14ac:dyDescent="0.35">
      <c r="A33" s="252" t="s">
        <v>107</v>
      </c>
      <c r="B33" s="252"/>
      <c r="C33" s="68"/>
      <c r="D33" s="69"/>
      <c r="E33" s="69"/>
      <c r="F33" s="70"/>
      <c r="G33" s="21"/>
    </row>
    <row r="34" spans="1:7" ht="26.1" customHeight="1" x14ac:dyDescent="0.3">
      <c r="A34" s="253" t="s">
        <v>13</v>
      </c>
      <c r="B34" s="255" t="s">
        <v>108</v>
      </c>
      <c r="C34" s="255" t="s">
        <v>8</v>
      </c>
      <c r="D34" s="250" t="s">
        <v>78</v>
      </c>
      <c r="E34" s="250" t="s">
        <v>79</v>
      </c>
      <c r="F34" s="100" t="s">
        <v>91</v>
      </c>
      <c r="G34" s="101">
        <f>SUM(G36:G39)</f>
        <v>0</v>
      </c>
    </row>
    <row r="35" spans="1:7" ht="26.1" customHeight="1" thickBot="1" x14ac:dyDescent="0.35">
      <c r="A35" s="254"/>
      <c r="B35" s="256"/>
      <c r="C35" s="256"/>
      <c r="D35" s="251"/>
      <c r="E35" s="251"/>
      <c r="F35" s="103" t="s">
        <v>133</v>
      </c>
      <c r="G35" s="104">
        <f>SUM(G36:G39)</f>
        <v>0</v>
      </c>
    </row>
    <row r="36" spans="1:7" ht="26.1" customHeight="1" thickTop="1" x14ac:dyDescent="0.3">
      <c r="A36" s="257">
        <f>B19</f>
        <v>0</v>
      </c>
      <c r="B36" s="246">
        <f>G34</f>
        <v>0</v>
      </c>
      <c r="C36" s="246"/>
      <c r="D36" s="260">
        <f>A36-C36</f>
        <v>0</v>
      </c>
      <c r="E36" s="246">
        <f>B36-C36</f>
        <v>0</v>
      </c>
      <c r="F36" s="128" t="s">
        <v>28</v>
      </c>
      <c r="G36" s="149"/>
    </row>
    <row r="37" spans="1:7" ht="26.1" customHeight="1" x14ac:dyDescent="0.3">
      <c r="A37" s="258"/>
      <c r="B37" s="247"/>
      <c r="C37" s="247"/>
      <c r="D37" s="261"/>
      <c r="E37" s="247"/>
      <c r="F37" s="138" t="s">
        <v>54</v>
      </c>
      <c r="G37" s="150"/>
    </row>
    <row r="38" spans="1:7" ht="26.1" customHeight="1" x14ac:dyDescent="0.3">
      <c r="A38" s="258"/>
      <c r="B38" s="247"/>
      <c r="C38" s="247"/>
      <c r="D38" s="261"/>
      <c r="E38" s="247"/>
      <c r="F38" s="138" t="s">
        <v>17</v>
      </c>
      <c r="G38" s="150"/>
    </row>
    <row r="39" spans="1:7" ht="26.1" customHeight="1" thickBot="1" x14ac:dyDescent="0.35">
      <c r="A39" s="259"/>
      <c r="B39" s="248"/>
      <c r="C39" s="248"/>
      <c r="D39" s="262"/>
      <c r="E39" s="248"/>
      <c r="F39" s="102" t="s">
        <v>51</v>
      </c>
      <c r="G39" s="152"/>
    </row>
  </sheetData>
  <mergeCells count="36">
    <mergeCell ref="F20:G20"/>
    <mergeCell ref="A9:A10"/>
    <mergeCell ref="C1:E1"/>
    <mergeCell ref="A2:F2"/>
    <mergeCell ref="A3:B3"/>
    <mergeCell ref="B9:B10"/>
    <mergeCell ref="C9:C10"/>
    <mergeCell ref="F1:G1"/>
    <mergeCell ref="F6:G6"/>
    <mergeCell ref="A14:A15"/>
    <mergeCell ref="D28:D29"/>
    <mergeCell ref="E28:E29"/>
    <mergeCell ref="A17:B17"/>
    <mergeCell ref="A23:A26"/>
    <mergeCell ref="B23:B24"/>
    <mergeCell ref="C23:C24"/>
    <mergeCell ref="B25:B26"/>
    <mergeCell ref="C25:C26"/>
    <mergeCell ref="B14:B16"/>
    <mergeCell ref="C14:C16"/>
    <mergeCell ref="A30:A31"/>
    <mergeCell ref="B30:B31"/>
    <mergeCell ref="C30:C31"/>
    <mergeCell ref="C28:C29"/>
    <mergeCell ref="B28:B29"/>
    <mergeCell ref="E34:E35"/>
    <mergeCell ref="A33:B33"/>
    <mergeCell ref="A34:A35"/>
    <mergeCell ref="B34:B35"/>
    <mergeCell ref="C34:C35"/>
    <mergeCell ref="D34:D35"/>
    <mergeCell ref="A36:A39"/>
    <mergeCell ref="B36:B39"/>
    <mergeCell ref="C36:C39"/>
    <mergeCell ref="D36:D39"/>
    <mergeCell ref="E36:E39"/>
  </mergeCells>
  <phoneticPr fontId="1" type="noConversion"/>
  <printOptions horizontalCentered="1"/>
  <pageMargins left="0.11811023622047245" right="0.11811023622047245" top="0.74803149606299213" bottom="0.11811023622047245" header="0.31496062992125984" footer="0.11811023622047245"/>
  <pageSetup paperSize="9" scale="7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9"/>
  <sheetViews>
    <sheetView zoomScaleNormal="100" workbookViewId="0">
      <selection activeCell="I61" sqref="I61"/>
    </sheetView>
  </sheetViews>
  <sheetFormatPr defaultRowHeight="15.75" x14ac:dyDescent="0.3"/>
  <cols>
    <col min="1" max="1" width="14.875" style="1" customWidth="1"/>
    <col min="2" max="2" width="15.25" style="1" customWidth="1"/>
    <col min="3" max="3" width="13.125" style="1" customWidth="1"/>
    <col min="4" max="4" width="14.875" style="2" customWidth="1"/>
    <col min="5" max="5" width="16.625" style="1" customWidth="1"/>
    <col min="6" max="6" width="15.5" style="1" customWidth="1"/>
    <col min="7" max="7" width="21.375" style="1" customWidth="1"/>
    <col min="8" max="16384" width="9" style="1"/>
  </cols>
  <sheetData>
    <row r="1" spans="1:7" ht="30" customHeight="1" x14ac:dyDescent="0.25">
      <c r="A1" s="10"/>
      <c r="B1" s="55"/>
      <c r="C1" s="234" t="s">
        <v>61</v>
      </c>
      <c r="D1" s="234"/>
      <c r="E1" s="234"/>
      <c r="F1" s="235" t="s">
        <v>58</v>
      </c>
      <c r="G1" s="235"/>
    </row>
    <row r="2" spans="1:7" ht="20.100000000000001" customHeight="1" x14ac:dyDescent="0.3">
      <c r="A2" s="221" t="s">
        <v>109</v>
      </c>
      <c r="B2" s="221"/>
      <c r="C2" s="221"/>
      <c r="D2" s="221"/>
      <c r="E2" s="221"/>
      <c r="F2" s="221"/>
    </row>
    <row r="3" spans="1:7" ht="20.100000000000001" customHeight="1" x14ac:dyDescent="0.3">
      <c r="A3" s="221" t="s">
        <v>9</v>
      </c>
      <c r="B3" s="221"/>
      <c r="C3" s="3"/>
      <c r="D3" s="4"/>
      <c r="E3" s="5"/>
      <c r="F3" s="5"/>
    </row>
    <row r="4" spans="1:7" ht="20.100000000000001" customHeight="1" x14ac:dyDescent="0.3">
      <c r="A4" s="78" t="s">
        <v>59</v>
      </c>
      <c r="B4" s="56">
        <f>SUM(C7:C25)</f>
        <v>0</v>
      </c>
      <c r="C4" s="3"/>
      <c r="D4" s="4"/>
      <c r="E4" s="5"/>
      <c r="F4" s="5"/>
    </row>
    <row r="5" spans="1:7" ht="20.100000000000001" customHeight="1" thickBot="1" x14ac:dyDescent="0.35">
      <c r="A5" s="78" t="s">
        <v>60</v>
      </c>
      <c r="B5" s="56">
        <f>SUM(A9,A20,A22,A25)</f>
        <v>0</v>
      </c>
      <c r="C5" s="3"/>
      <c r="D5" s="4"/>
      <c r="E5" s="5"/>
      <c r="F5" s="5"/>
    </row>
    <row r="6" spans="1:7" ht="24.95" customHeight="1" thickBot="1" x14ac:dyDescent="0.35">
      <c r="A6" s="94" t="s">
        <v>2</v>
      </c>
      <c r="B6" s="95" t="s">
        <v>3</v>
      </c>
      <c r="C6" s="95" t="s">
        <v>4</v>
      </c>
      <c r="D6" s="96" t="s">
        <v>5</v>
      </c>
      <c r="E6" s="148" t="s">
        <v>6</v>
      </c>
      <c r="F6" s="211" t="s">
        <v>7</v>
      </c>
      <c r="G6" s="212"/>
    </row>
    <row r="7" spans="1:7" ht="24.95" customHeight="1" thickTop="1" x14ac:dyDescent="0.3">
      <c r="A7" s="268" t="s">
        <v>28</v>
      </c>
      <c r="B7" s="246"/>
      <c r="C7" s="246"/>
      <c r="D7" s="130"/>
      <c r="E7" s="131"/>
      <c r="F7" s="67"/>
      <c r="G7" s="197"/>
    </row>
    <row r="8" spans="1:7" ht="24.95" customHeight="1" x14ac:dyDescent="0.3">
      <c r="A8" s="243"/>
      <c r="B8" s="247"/>
      <c r="C8" s="247"/>
      <c r="D8" s="145"/>
      <c r="E8" s="135"/>
      <c r="F8" s="90"/>
      <c r="G8" s="184"/>
    </row>
    <row r="9" spans="1:7" ht="24.95" customHeight="1" x14ac:dyDescent="0.3">
      <c r="A9" s="141">
        <f>SUM(D7:D9)</f>
        <v>0</v>
      </c>
      <c r="B9" s="247"/>
      <c r="C9" s="247"/>
      <c r="D9" s="145"/>
      <c r="E9" s="135"/>
      <c r="F9" s="90"/>
      <c r="G9" s="184"/>
    </row>
    <row r="10" spans="1:7" ht="24.95" customHeight="1" x14ac:dyDescent="0.3">
      <c r="A10" s="243" t="s">
        <v>54</v>
      </c>
      <c r="B10" s="247"/>
      <c r="C10" s="247"/>
      <c r="D10" s="137"/>
      <c r="E10" s="135"/>
      <c r="F10" s="90"/>
      <c r="G10" s="184"/>
    </row>
    <row r="11" spans="1:7" ht="24.95" customHeight="1" x14ac:dyDescent="0.3">
      <c r="A11" s="243"/>
      <c r="B11" s="247"/>
      <c r="C11" s="247"/>
      <c r="D11" s="137"/>
      <c r="E11" s="135"/>
      <c r="F11" s="90"/>
      <c r="G11" s="184"/>
    </row>
    <row r="12" spans="1:7" ht="24.95" customHeight="1" x14ac:dyDescent="0.3">
      <c r="A12" s="243"/>
      <c r="B12" s="247"/>
      <c r="C12" s="247"/>
      <c r="D12" s="137"/>
      <c r="E12" s="135"/>
      <c r="F12" s="90"/>
      <c r="G12" s="184"/>
    </row>
    <row r="13" spans="1:7" ht="24.95" customHeight="1" x14ac:dyDescent="0.3">
      <c r="A13" s="243"/>
      <c r="B13" s="247"/>
      <c r="C13" s="247"/>
      <c r="D13" s="137"/>
      <c r="E13" s="135"/>
      <c r="F13" s="90"/>
      <c r="G13" s="184"/>
    </row>
    <row r="14" spans="1:7" ht="24.95" customHeight="1" x14ac:dyDescent="0.3">
      <c r="A14" s="243"/>
      <c r="B14" s="247"/>
      <c r="C14" s="247"/>
      <c r="D14" s="137"/>
      <c r="E14" s="135"/>
      <c r="F14" s="90"/>
      <c r="G14" s="184"/>
    </row>
    <row r="15" spans="1:7" ht="24.95" customHeight="1" x14ac:dyDescent="0.3">
      <c r="A15" s="243"/>
      <c r="B15" s="247"/>
      <c r="C15" s="247"/>
      <c r="D15" s="137"/>
      <c r="E15" s="135"/>
      <c r="F15" s="90"/>
      <c r="G15" s="184"/>
    </row>
    <row r="16" spans="1:7" ht="24.95" customHeight="1" x14ac:dyDescent="0.3">
      <c r="A16" s="243"/>
      <c r="B16" s="247"/>
      <c r="C16" s="247"/>
      <c r="D16" s="137"/>
      <c r="E16" s="135"/>
      <c r="F16" s="90"/>
      <c r="G16" s="184"/>
    </row>
    <row r="17" spans="1:7" ht="24.95" customHeight="1" x14ac:dyDescent="0.3">
      <c r="A17" s="243"/>
      <c r="B17" s="247"/>
      <c r="C17" s="247"/>
      <c r="D17" s="137"/>
      <c r="E17" s="135"/>
      <c r="F17" s="90"/>
      <c r="G17" s="184"/>
    </row>
    <row r="18" spans="1:7" ht="24.95" customHeight="1" x14ac:dyDescent="0.3">
      <c r="A18" s="243"/>
      <c r="B18" s="137"/>
      <c r="C18" s="137"/>
      <c r="D18" s="137"/>
      <c r="E18" s="135"/>
      <c r="F18" s="90"/>
      <c r="G18" s="184"/>
    </row>
    <row r="19" spans="1:7" ht="24.95" customHeight="1" x14ac:dyDescent="0.3">
      <c r="A19" s="243"/>
      <c r="B19" s="137"/>
      <c r="C19" s="137"/>
      <c r="D19" s="137"/>
      <c r="E19" s="135"/>
      <c r="F19" s="90"/>
      <c r="G19" s="184"/>
    </row>
    <row r="20" spans="1:7" ht="24.95" customHeight="1" x14ac:dyDescent="0.3">
      <c r="A20" s="141">
        <f>SUM(D10:D20)</f>
        <v>0</v>
      </c>
      <c r="B20" s="137"/>
      <c r="C20" s="145"/>
      <c r="D20" s="145"/>
      <c r="E20" s="134"/>
      <c r="F20" s="189"/>
      <c r="G20" s="191"/>
    </row>
    <row r="21" spans="1:7" ht="24.95" customHeight="1" x14ac:dyDescent="0.3">
      <c r="A21" s="144" t="s">
        <v>17</v>
      </c>
      <c r="B21" s="137"/>
      <c r="C21" s="145"/>
      <c r="D21" s="145"/>
      <c r="E21" s="135"/>
      <c r="F21" s="90"/>
      <c r="G21" s="184"/>
    </row>
    <row r="22" spans="1:7" ht="24.95" customHeight="1" x14ac:dyDescent="0.3">
      <c r="A22" s="144">
        <f>SUM(D21:D22)</f>
        <v>0</v>
      </c>
      <c r="B22" s="137"/>
      <c r="C22" s="145"/>
      <c r="D22" s="145"/>
      <c r="E22" s="135"/>
      <c r="F22" s="90"/>
      <c r="G22" s="184"/>
    </row>
    <row r="23" spans="1:7" ht="24.95" customHeight="1" x14ac:dyDescent="0.3">
      <c r="A23" s="238" t="s">
        <v>27</v>
      </c>
      <c r="B23" s="247"/>
      <c r="C23" s="247"/>
      <c r="D23" s="145"/>
      <c r="E23" s="135"/>
      <c r="F23" s="90"/>
      <c r="G23" s="184"/>
    </row>
    <row r="24" spans="1:7" ht="24.95" customHeight="1" x14ac:dyDescent="0.3">
      <c r="A24" s="238"/>
      <c r="B24" s="247"/>
      <c r="C24" s="247"/>
      <c r="D24" s="145"/>
      <c r="E24" s="135"/>
      <c r="F24" s="90"/>
      <c r="G24" s="184"/>
    </row>
    <row r="25" spans="1:7" ht="24.95" customHeight="1" thickBot="1" x14ac:dyDescent="0.35">
      <c r="A25" s="142">
        <f>SUM(D23:D25)</f>
        <v>0</v>
      </c>
      <c r="B25" s="143"/>
      <c r="C25" s="146"/>
      <c r="D25" s="146"/>
      <c r="E25" s="147"/>
      <c r="F25" s="122"/>
      <c r="G25" s="205"/>
    </row>
    <row r="26" spans="1:7" ht="20.100000000000001" customHeight="1" x14ac:dyDescent="0.3">
      <c r="A26" s="221" t="s">
        <v>65</v>
      </c>
      <c r="B26" s="221"/>
      <c r="C26" s="3"/>
      <c r="D26" s="4"/>
      <c r="E26" s="5"/>
      <c r="F26" s="5"/>
    </row>
    <row r="27" spans="1:7" ht="20.100000000000001" customHeight="1" x14ac:dyDescent="0.3">
      <c r="A27" s="78" t="s">
        <v>62</v>
      </c>
      <c r="B27" s="56">
        <f>SUM(C30:C50)</f>
        <v>0</v>
      </c>
      <c r="C27" s="3"/>
      <c r="D27" s="4"/>
      <c r="E27" s="5"/>
      <c r="F27" s="5"/>
    </row>
    <row r="28" spans="1:7" ht="20.100000000000001" customHeight="1" thickBot="1" x14ac:dyDescent="0.35">
      <c r="A28" s="78" t="s">
        <v>63</v>
      </c>
      <c r="B28" s="56">
        <f>SUM(A32,A44,A47,A50)</f>
        <v>0</v>
      </c>
      <c r="C28" s="3"/>
      <c r="D28" s="4"/>
      <c r="E28" s="5"/>
      <c r="F28" s="5"/>
    </row>
    <row r="29" spans="1:7" ht="24.95" customHeight="1" thickBot="1" x14ac:dyDescent="0.35">
      <c r="A29" s="94" t="s">
        <v>2</v>
      </c>
      <c r="B29" s="95" t="s">
        <v>3</v>
      </c>
      <c r="C29" s="95" t="s">
        <v>4</v>
      </c>
      <c r="D29" s="96" t="s">
        <v>64</v>
      </c>
      <c r="E29" s="148" t="s">
        <v>6</v>
      </c>
      <c r="F29" s="211" t="s">
        <v>7</v>
      </c>
      <c r="G29" s="212"/>
    </row>
    <row r="30" spans="1:7" ht="24.95" customHeight="1" thickTop="1" x14ac:dyDescent="0.3">
      <c r="A30" s="268" t="s">
        <v>28</v>
      </c>
      <c r="B30" s="246"/>
      <c r="C30" s="246"/>
      <c r="D30" s="129"/>
      <c r="E30" s="131"/>
      <c r="F30" s="67"/>
      <c r="G30" s="197"/>
    </row>
    <row r="31" spans="1:7" ht="24.95" customHeight="1" x14ac:dyDescent="0.3">
      <c r="A31" s="243"/>
      <c r="B31" s="247"/>
      <c r="C31" s="247"/>
      <c r="D31" s="137"/>
      <c r="E31" s="135"/>
      <c r="F31" s="90"/>
      <c r="G31" s="184"/>
    </row>
    <row r="32" spans="1:7" ht="24.95" customHeight="1" x14ac:dyDescent="0.3">
      <c r="A32" s="144">
        <f>SUM(D30:D32)</f>
        <v>0</v>
      </c>
      <c r="B32" s="247"/>
      <c r="C32" s="247"/>
      <c r="D32" s="137"/>
      <c r="E32" s="135"/>
      <c r="F32" s="90"/>
      <c r="G32" s="184"/>
    </row>
    <row r="33" spans="1:7" ht="24.95" customHeight="1" x14ac:dyDescent="0.3">
      <c r="A33" s="243" t="s">
        <v>54</v>
      </c>
      <c r="B33" s="247"/>
      <c r="C33" s="247"/>
      <c r="D33" s="137"/>
      <c r="E33" s="134"/>
      <c r="F33" s="189"/>
      <c r="G33" s="191"/>
    </row>
    <row r="34" spans="1:7" ht="24.95" customHeight="1" x14ac:dyDescent="0.3">
      <c r="A34" s="243"/>
      <c r="B34" s="247"/>
      <c r="C34" s="247"/>
      <c r="D34" s="137"/>
      <c r="E34" s="134"/>
      <c r="F34" s="189"/>
      <c r="G34" s="191"/>
    </row>
    <row r="35" spans="1:7" ht="24.95" customHeight="1" x14ac:dyDescent="0.3">
      <c r="A35" s="243"/>
      <c r="B35" s="247"/>
      <c r="C35" s="247"/>
      <c r="D35" s="137"/>
      <c r="E35" s="134"/>
      <c r="F35" s="189"/>
      <c r="G35" s="191"/>
    </row>
    <row r="36" spans="1:7" ht="24.95" customHeight="1" x14ac:dyDescent="0.3">
      <c r="A36" s="243"/>
      <c r="B36" s="247"/>
      <c r="C36" s="247"/>
      <c r="D36" s="137"/>
      <c r="E36" s="134"/>
      <c r="F36" s="189"/>
      <c r="G36" s="191"/>
    </row>
    <row r="37" spans="1:7" ht="24.95" customHeight="1" x14ac:dyDescent="0.3">
      <c r="A37" s="243"/>
      <c r="B37" s="247"/>
      <c r="C37" s="247"/>
      <c r="D37" s="137"/>
      <c r="E37" s="134"/>
      <c r="F37" s="189"/>
      <c r="G37" s="191"/>
    </row>
    <row r="38" spans="1:7" ht="24.95" customHeight="1" x14ac:dyDescent="0.3">
      <c r="A38" s="243"/>
      <c r="B38" s="247"/>
      <c r="C38" s="247"/>
      <c r="D38" s="137"/>
      <c r="E38" s="134"/>
      <c r="F38" s="189"/>
      <c r="G38" s="191"/>
    </row>
    <row r="39" spans="1:7" ht="24.95" customHeight="1" x14ac:dyDescent="0.3">
      <c r="A39" s="243"/>
      <c r="B39" s="247"/>
      <c r="C39" s="247"/>
      <c r="D39" s="137"/>
      <c r="E39" s="134"/>
      <c r="F39" s="189"/>
      <c r="G39" s="191"/>
    </row>
    <row r="40" spans="1:7" ht="24.95" customHeight="1" x14ac:dyDescent="0.3">
      <c r="A40" s="243"/>
      <c r="B40" s="247"/>
      <c r="C40" s="247"/>
      <c r="D40" s="137"/>
      <c r="E40" s="134"/>
      <c r="F40" s="189"/>
      <c r="G40" s="191"/>
    </row>
    <row r="41" spans="1:7" ht="24.95" customHeight="1" x14ac:dyDescent="0.3">
      <c r="A41" s="243"/>
      <c r="B41" s="137"/>
      <c r="C41" s="137"/>
      <c r="D41" s="137"/>
      <c r="E41" s="134"/>
      <c r="F41" s="189"/>
      <c r="G41" s="191"/>
    </row>
    <row r="42" spans="1:7" ht="24.95" customHeight="1" x14ac:dyDescent="0.3">
      <c r="A42" s="243"/>
      <c r="B42" s="137"/>
      <c r="C42" s="137"/>
      <c r="D42" s="137"/>
      <c r="E42" s="134"/>
      <c r="F42" s="189"/>
      <c r="G42" s="191"/>
    </row>
    <row r="43" spans="1:7" ht="24.95" customHeight="1" x14ac:dyDescent="0.3">
      <c r="A43" s="243"/>
      <c r="B43" s="137"/>
      <c r="C43" s="137"/>
      <c r="D43" s="137"/>
      <c r="E43" s="134"/>
      <c r="F43" s="189"/>
      <c r="G43" s="191"/>
    </row>
    <row r="44" spans="1:7" ht="24.95" customHeight="1" x14ac:dyDescent="0.3">
      <c r="A44" s="144">
        <f>SUM(D33:D44)</f>
        <v>0</v>
      </c>
      <c r="B44" s="138"/>
      <c r="C44" s="136"/>
      <c r="D44" s="137"/>
      <c r="E44" s="134"/>
      <c r="F44" s="189"/>
      <c r="G44" s="191"/>
    </row>
    <row r="45" spans="1:7" ht="24.95" customHeight="1" x14ac:dyDescent="0.3">
      <c r="A45" s="238" t="s">
        <v>17</v>
      </c>
      <c r="B45" s="138"/>
      <c r="C45" s="137"/>
      <c r="D45" s="137"/>
      <c r="E45" s="134"/>
      <c r="F45" s="189"/>
      <c r="G45" s="191"/>
    </row>
    <row r="46" spans="1:7" ht="24.95" customHeight="1" x14ac:dyDescent="0.3">
      <c r="A46" s="238"/>
      <c r="B46" s="138"/>
      <c r="C46" s="137"/>
      <c r="D46" s="137"/>
      <c r="E46" s="134"/>
      <c r="F46" s="189"/>
      <c r="G46" s="191"/>
    </row>
    <row r="47" spans="1:7" ht="24.95" customHeight="1" x14ac:dyDescent="0.3">
      <c r="A47" s="144">
        <f>SUM(D45:D47)</f>
        <v>0</v>
      </c>
      <c r="B47" s="138"/>
      <c r="C47" s="137"/>
      <c r="D47" s="137"/>
      <c r="E47" s="134"/>
      <c r="F47" s="189"/>
      <c r="G47" s="191"/>
    </row>
    <row r="48" spans="1:7" ht="24.95" customHeight="1" x14ac:dyDescent="0.3">
      <c r="A48" s="238" t="s">
        <v>27</v>
      </c>
      <c r="B48" s="247"/>
      <c r="C48" s="247"/>
      <c r="D48" s="136"/>
      <c r="E48" s="135"/>
      <c r="F48" s="90"/>
      <c r="G48" s="184"/>
    </row>
    <row r="49" spans="1:7" ht="24.95" customHeight="1" x14ac:dyDescent="0.3">
      <c r="A49" s="238"/>
      <c r="B49" s="247"/>
      <c r="C49" s="247"/>
      <c r="D49" s="136"/>
      <c r="E49" s="135"/>
      <c r="F49" s="90"/>
      <c r="G49" s="184"/>
    </row>
    <row r="50" spans="1:7" ht="24.95" customHeight="1" thickBot="1" x14ac:dyDescent="0.35">
      <c r="A50" s="105">
        <f>SUM(D48:D50)</f>
        <v>0</v>
      </c>
      <c r="B50" s="143"/>
      <c r="C50" s="143"/>
      <c r="D50" s="151"/>
      <c r="E50" s="147"/>
      <c r="F50" s="122"/>
      <c r="G50" s="205"/>
    </row>
    <row r="51" spans="1:7" ht="20.100000000000001" customHeight="1" thickBot="1" x14ac:dyDescent="0.35">
      <c r="A51" s="252" t="s">
        <v>110</v>
      </c>
      <c r="B51" s="252"/>
      <c r="C51" s="68"/>
      <c r="D51" s="69"/>
      <c r="E51" s="69"/>
      <c r="F51" s="70"/>
      <c r="G51" s="21"/>
    </row>
    <row r="52" spans="1:7" ht="20.100000000000001" customHeight="1" x14ac:dyDescent="0.3">
      <c r="A52" s="253" t="s">
        <v>13</v>
      </c>
      <c r="B52" s="255" t="s">
        <v>111</v>
      </c>
      <c r="C52" s="255" t="s">
        <v>8</v>
      </c>
      <c r="D52" s="250" t="s">
        <v>78</v>
      </c>
      <c r="E52" s="250" t="s">
        <v>79</v>
      </c>
      <c r="F52" s="100" t="s">
        <v>91</v>
      </c>
      <c r="G52" s="101">
        <f>SUM(G54:G59)</f>
        <v>0</v>
      </c>
    </row>
    <row r="53" spans="1:7" ht="20.100000000000001" customHeight="1" thickBot="1" x14ac:dyDescent="0.35">
      <c r="A53" s="254"/>
      <c r="B53" s="256"/>
      <c r="C53" s="256"/>
      <c r="D53" s="251"/>
      <c r="E53" s="251"/>
      <c r="F53" s="103" t="s">
        <v>136</v>
      </c>
      <c r="G53" s="104">
        <f>SUM(G54:G57)</f>
        <v>0</v>
      </c>
    </row>
    <row r="54" spans="1:7" ht="20.100000000000001" customHeight="1" thickTop="1" x14ac:dyDescent="0.3">
      <c r="A54" s="257">
        <f>B28</f>
        <v>0</v>
      </c>
      <c r="B54" s="246">
        <f>G52</f>
        <v>0</v>
      </c>
      <c r="C54" s="246"/>
      <c r="D54" s="260">
        <f>A54-C54</f>
        <v>0</v>
      </c>
      <c r="E54" s="246">
        <f>B54-C54</f>
        <v>0</v>
      </c>
      <c r="F54" s="92" t="s">
        <v>28</v>
      </c>
      <c r="G54" s="98"/>
    </row>
    <row r="55" spans="1:7" ht="20.100000000000001" customHeight="1" x14ac:dyDescent="0.3">
      <c r="A55" s="258"/>
      <c r="B55" s="247"/>
      <c r="C55" s="247"/>
      <c r="D55" s="261"/>
      <c r="E55" s="247"/>
      <c r="F55" s="93" t="s">
        <v>54</v>
      </c>
      <c r="G55" s="97"/>
    </row>
    <row r="56" spans="1:7" ht="20.100000000000001" customHeight="1" x14ac:dyDescent="0.3">
      <c r="A56" s="258"/>
      <c r="B56" s="247"/>
      <c r="C56" s="247"/>
      <c r="D56" s="261"/>
      <c r="E56" s="247"/>
      <c r="F56" s="93" t="s">
        <v>17</v>
      </c>
      <c r="G56" s="97"/>
    </row>
    <row r="57" spans="1:7" ht="20.100000000000001" customHeight="1" x14ac:dyDescent="0.3">
      <c r="A57" s="258"/>
      <c r="B57" s="247"/>
      <c r="C57" s="247"/>
      <c r="D57" s="261"/>
      <c r="E57" s="247"/>
      <c r="F57" s="93" t="s">
        <v>113</v>
      </c>
      <c r="G57" s="97"/>
    </row>
    <row r="58" spans="1:7" ht="20.100000000000001" customHeight="1" x14ac:dyDescent="0.3">
      <c r="A58" s="270"/>
      <c r="B58" s="271"/>
      <c r="C58" s="271"/>
      <c r="D58" s="272"/>
      <c r="E58" s="271"/>
      <c r="F58" s="91" t="s">
        <v>137</v>
      </c>
      <c r="G58" s="107"/>
    </row>
    <row r="59" spans="1:7" ht="20.100000000000001" customHeight="1" thickBot="1" x14ac:dyDescent="0.35">
      <c r="A59" s="259"/>
      <c r="B59" s="248"/>
      <c r="C59" s="248"/>
      <c r="D59" s="262"/>
      <c r="E59" s="248"/>
      <c r="F59" s="102" t="s">
        <v>114</v>
      </c>
      <c r="G59" s="99"/>
    </row>
  </sheetData>
  <mergeCells count="37">
    <mergeCell ref="F29:G29"/>
    <mergeCell ref="A33:A43"/>
    <mergeCell ref="C30:C32"/>
    <mergeCell ref="B30:B32"/>
    <mergeCell ref="C33:C40"/>
    <mergeCell ref="A30:A31"/>
    <mergeCell ref="A26:B26"/>
    <mergeCell ref="D54:D59"/>
    <mergeCell ref="E54:E59"/>
    <mergeCell ref="E52:E53"/>
    <mergeCell ref="A51:B51"/>
    <mergeCell ref="A52:A53"/>
    <mergeCell ref="B52:B53"/>
    <mergeCell ref="C52:C53"/>
    <mergeCell ref="D52:D53"/>
    <mergeCell ref="A54:A59"/>
    <mergeCell ref="B54:B59"/>
    <mergeCell ref="C54:C59"/>
    <mergeCell ref="B33:B40"/>
    <mergeCell ref="C48:C49"/>
    <mergeCell ref="B48:B49"/>
    <mergeCell ref="A48:A49"/>
    <mergeCell ref="A45:A46"/>
    <mergeCell ref="A10:A19"/>
    <mergeCell ref="C10:C17"/>
    <mergeCell ref="B10:B17"/>
    <mergeCell ref="A23:A24"/>
    <mergeCell ref="C23:C24"/>
    <mergeCell ref="B23:B24"/>
    <mergeCell ref="C1:E1"/>
    <mergeCell ref="A2:F2"/>
    <mergeCell ref="A3:B3"/>
    <mergeCell ref="B7:B9"/>
    <mergeCell ref="C7:C9"/>
    <mergeCell ref="A7:A8"/>
    <mergeCell ref="F6:G6"/>
    <mergeCell ref="F1:G1"/>
  </mergeCells>
  <phoneticPr fontId="1" type="noConversion"/>
  <printOptions horizontalCentered="1"/>
  <pageMargins left="0.23622047244094491" right="0.23622047244094491" top="0.74803149606299213" bottom="0.19685039370078741" header="0.31496062992125984" footer="0.19685039370078741"/>
  <pageSetup paperSize="9" scale="82" fitToHeight="0" orientation="portrait" r:id="rId1"/>
  <rowBreaks count="1" manualBreakCount="1">
    <brk id="32" max="6" man="1"/>
  </rowBreaks>
  <ignoredErrors>
    <ignoredError sqref="G5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opLeftCell="A25" zoomScaleNormal="100" workbookViewId="0">
      <selection activeCell="K47" sqref="K47"/>
    </sheetView>
  </sheetViews>
  <sheetFormatPr defaultRowHeight="24.95" customHeight="1" x14ac:dyDescent="0.3"/>
  <cols>
    <col min="1" max="1" width="13.375" style="1" customWidth="1"/>
    <col min="2" max="2" width="14.25" style="1" customWidth="1"/>
    <col min="3" max="3" width="15.25" style="1" customWidth="1"/>
    <col min="4" max="4" width="14.125" style="2" customWidth="1"/>
    <col min="5" max="5" width="15" style="1" customWidth="1"/>
    <col min="6" max="6" width="13.25" style="1" customWidth="1"/>
    <col min="7" max="7" width="18.625" style="1" customWidth="1"/>
    <col min="8" max="16384" width="9" style="1"/>
  </cols>
  <sheetData>
    <row r="1" spans="1:7" ht="24.95" customHeight="1" x14ac:dyDescent="0.25">
      <c r="A1" s="10"/>
      <c r="B1" s="55"/>
      <c r="C1" s="234" t="s">
        <v>61</v>
      </c>
      <c r="D1" s="234"/>
      <c r="E1" s="234"/>
      <c r="F1" s="235" t="s">
        <v>58</v>
      </c>
      <c r="G1" s="235"/>
    </row>
    <row r="2" spans="1:7" ht="24.95" customHeight="1" x14ac:dyDescent="0.3">
      <c r="A2" s="221" t="s">
        <v>138</v>
      </c>
      <c r="B2" s="221"/>
      <c r="C2" s="221"/>
      <c r="D2" s="221"/>
      <c r="E2" s="221"/>
      <c r="F2" s="221"/>
    </row>
    <row r="3" spans="1:7" ht="24.95" customHeight="1" x14ac:dyDescent="0.3">
      <c r="A3" s="221" t="s">
        <v>9</v>
      </c>
      <c r="B3" s="221"/>
      <c r="C3" s="3"/>
      <c r="D3" s="4"/>
      <c r="E3" s="5"/>
      <c r="F3" s="5"/>
    </row>
    <row r="4" spans="1:7" ht="24.95" customHeight="1" x14ac:dyDescent="0.3">
      <c r="A4" s="79" t="s">
        <v>59</v>
      </c>
      <c r="B4" s="56">
        <f>SUM(C7:C22)</f>
        <v>0</v>
      </c>
      <c r="C4" s="3"/>
      <c r="D4" s="4"/>
      <c r="E4" s="5"/>
      <c r="F4" s="5"/>
    </row>
    <row r="5" spans="1:7" ht="24.95" customHeight="1" thickBot="1" x14ac:dyDescent="0.35">
      <c r="A5" s="79" t="s">
        <v>60</v>
      </c>
      <c r="B5" s="56">
        <f>SUM(A9,A18,A20,A22)</f>
        <v>0</v>
      </c>
      <c r="C5" s="3"/>
      <c r="D5" s="4"/>
      <c r="E5" s="5"/>
      <c r="F5" s="5"/>
    </row>
    <row r="6" spans="1:7" ht="24.95" customHeight="1" thickBot="1" x14ac:dyDescent="0.35">
      <c r="A6" s="94" t="s">
        <v>2</v>
      </c>
      <c r="B6" s="95" t="s">
        <v>3</v>
      </c>
      <c r="C6" s="95" t="s">
        <v>4</v>
      </c>
      <c r="D6" s="96" t="s">
        <v>5</v>
      </c>
      <c r="E6" s="123" t="s">
        <v>6</v>
      </c>
      <c r="F6" s="211" t="s">
        <v>7</v>
      </c>
      <c r="G6" s="212"/>
    </row>
    <row r="7" spans="1:7" ht="24.95" customHeight="1" thickTop="1" x14ac:dyDescent="0.3">
      <c r="A7" s="273" t="s">
        <v>28</v>
      </c>
      <c r="B7" s="274"/>
      <c r="C7" s="274"/>
      <c r="D7" s="111"/>
      <c r="E7" s="112"/>
      <c r="F7" s="67"/>
      <c r="G7" s="197"/>
    </row>
    <row r="8" spans="1:7" ht="24.95" customHeight="1" x14ac:dyDescent="0.3">
      <c r="A8" s="268"/>
      <c r="B8" s="275"/>
      <c r="C8" s="275"/>
      <c r="D8" s="115"/>
      <c r="E8" s="113"/>
      <c r="F8" s="90"/>
      <c r="G8" s="184"/>
    </row>
    <row r="9" spans="1:7" ht="24.95" customHeight="1" x14ac:dyDescent="0.3">
      <c r="A9" s="119">
        <f>SUM(D7:D9)</f>
        <v>0</v>
      </c>
      <c r="B9" s="246"/>
      <c r="C9" s="246"/>
      <c r="D9" s="115"/>
      <c r="E9" s="113"/>
      <c r="F9" s="90"/>
      <c r="G9" s="184"/>
    </row>
    <row r="10" spans="1:7" ht="24.95" customHeight="1" x14ac:dyDescent="0.3">
      <c r="A10" s="243" t="s">
        <v>16</v>
      </c>
      <c r="B10" s="247"/>
      <c r="C10" s="247"/>
      <c r="D10" s="115"/>
      <c r="E10" s="113"/>
      <c r="F10" s="90"/>
      <c r="G10" s="184"/>
    </row>
    <row r="11" spans="1:7" ht="24.95" customHeight="1" x14ac:dyDescent="0.3">
      <c r="A11" s="243"/>
      <c r="B11" s="247"/>
      <c r="C11" s="247"/>
      <c r="D11" s="115"/>
      <c r="E11" s="113"/>
      <c r="F11" s="90"/>
      <c r="G11" s="184"/>
    </row>
    <row r="12" spans="1:7" ht="24.95" customHeight="1" x14ac:dyDescent="0.3">
      <c r="A12" s="243"/>
      <c r="B12" s="247"/>
      <c r="C12" s="247"/>
      <c r="D12" s="115"/>
      <c r="E12" s="113"/>
      <c r="F12" s="90"/>
      <c r="G12" s="184"/>
    </row>
    <row r="13" spans="1:7" ht="24.95" customHeight="1" x14ac:dyDescent="0.3">
      <c r="A13" s="243"/>
      <c r="B13" s="247"/>
      <c r="C13" s="247"/>
      <c r="D13" s="115"/>
      <c r="E13" s="113"/>
      <c r="F13" s="90"/>
      <c r="G13" s="184"/>
    </row>
    <row r="14" spans="1:7" ht="24.95" customHeight="1" x14ac:dyDescent="0.3">
      <c r="A14" s="243"/>
      <c r="B14" s="247"/>
      <c r="C14" s="247"/>
      <c r="D14" s="115"/>
      <c r="E14" s="113"/>
      <c r="F14" s="90"/>
      <c r="G14" s="184"/>
    </row>
    <row r="15" spans="1:7" ht="24.95" customHeight="1" x14ac:dyDescent="0.3">
      <c r="A15" s="243"/>
      <c r="B15" s="247"/>
      <c r="C15" s="247"/>
      <c r="D15" s="115"/>
      <c r="E15" s="113"/>
      <c r="F15" s="90"/>
      <c r="G15" s="184"/>
    </row>
    <row r="16" spans="1:7" ht="24.95" customHeight="1" x14ac:dyDescent="0.3">
      <c r="A16" s="243"/>
      <c r="B16" s="247"/>
      <c r="C16" s="247"/>
      <c r="D16" s="115"/>
      <c r="E16" s="113"/>
      <c r="F16" s="90"/>
      <c r="G16" s="184"/>
    </row>
    <row r="17" spans="1:7" ht="24.95" customHeight="1" x14ac:dyDescent="0.3">
      <c r="A17" s="243"/>
      <c r="B17" s="247"/>
      <c r="C17" s="247"/>
      <c r="D17" s="115"/>
      <c r="E17" s="113"/>
      <c r="F17" s="90"/>
      <c r="G17" s="184"/>
    </row>
    <row r="18" spans="1:7" ht="24.95" customHeight="1" x14ac:dyDescent="0.3">
      <c r="A18" s="119">
        <f>SUM(D10:D18)</f>
        <v>0</v>
      </c>
      <c r="B18" s="247"/>
      <c r="C18" s="247"/>
      <c r="D18" s="115"/>
      <c r="E18" s="114"/>
      <c r="F18" s="189"/>
      <c r="G18" s="191"/>
    </row>
    <row r="19" spans="1:7" ht="24.95" customHeight="1" x14ac:dyDescent="0.3">
      <c r="A19" s="121" t="s">
        <v>17</v>
      </c>
      <c r="B19" s="247"/>
      <c r="C19" s="247"/>
      <c r="D19" s="247"/>
      <c r="E19" s="267"/>
      <c r="F19" s="90"/>
      <c r="G19" s="184"/>
    </row>
    <row r="20" spans="1:7" ht="24.95" customHeight="1" x14ac:dyDescent="0.3">
      <c r="A20" s="121">
        <f>SUM(D19:D20)</f>
        <v>0</v>
      </c>
      <c r="B20" s="247"/>
      <c r="C20" s="247"/>
      <c r="D20" s="247"/>
      <c r="E20" s="267"/>
      <c r="F20" s="90"/>
      <c r="G20" s="184"/>
    </row>
    <row r="21" spans="1:7" ht="24.95" customHeight="1" x14ac:dyDescent="0.3">
      <c r="A21" s="121" t="s">
        <v>27</v>
      </c>
      <c r="B21" s="247"/>
      <c r="C21" s="247"/>
      <c r="D21" s="117"/>
      <c r="E21" s="90"/>
      <c r="F21" s="90"/>
      <c r="G21" s="184"/>
    </row>
    <row r="22" spans="1:7" ht="24.95" customHeight="1" thickBot="1" x14ac:dyDescent="0.35">
      <c r="A22" s="120">
        <f>SUM(D21:D22)</f>
        <v>0</v>
      </c>
      <c r="B22" s="248"/>
      <c r="C22" s="248"/>
      <c r="D22" s="118"/>
      <c r="E22" s="122"/>
      <c r="F22" s="122"/>
      <c r="G22" s="205"/>
    </row>
    <row r="23" spans="1:7" ht="24.95" customHeight="1" x14ac:dyDescent="0.3">
      <c r="A23" s="221" t="s">
        <v>65</v>
      </c>
      <c r="B23" s="221"/>
      <c r="C23" s="3"/>
      <c r="D23" s="4"/>
      <c r="E23" s="5"/>
      <c r="F23" s="5"/>
    </row>
    <row r="24" spans="1:7" ht="24.95" customHeight="1" x14ac:dyDescent="0.3">
      <c r="A24" s="108" t="s">
        <v>62</v>
      </c>
      <c r="B24" s="56">
        <f>SUM(C27:C41)</f>
        <v>0</v>
      </c>
      <c r="C24" s="3"/>
      <c r="D24" s="4"/>
      <c r="E24" s="5"/>
      <c r="F24" s="5"/>
    </row>
    <row r="25" spans="1:7" ht="24.95" customHeight="1" thickBot="1" x14ac:dyDescent="0.35">
      <c r="A25" s="108" t="s">
        <v>63</v>
      </c>
      <c r="B25" s="56">
        <f>SUM(A28,A37,A39,A41)</f>
        <v>0</v>
      </c>
      <c r="C25" s="3"/>
      <c r="D25" s="4"/>
      <c r="E25" s="5"/>
      <c r="F25" s="5"/>
    </row>
    <row r="26" spans="1:7" ht="24.95" customHeight="1" thickBot="1" x14ac:dyDescent="0.35">
      <c r="A26" s="94" t="s">
        <v>2</v>
      </c>
      <c r="B26" s="95" t="s">
        <v>3</v>
      </c>
      <c r="C26" s="95" t="s">
        <v>4</v>
      </c>
      <c r="D26" s="96" t="s">
        <v>64</v>
      </c>
      <c r="E26" s="123" t="s">
        <v>6</v>
      </c>
      <c r="F26" s="211" t="s">
        <v>7</v>
      </c>
      <c r="G26" s="212"/>
    </row>
    <row r="27" spans="1:7" ht="24.95" customHeight="1" thickTop="1" x14ac:dyDescent="0.3">
      <c r="A27" s="116" t="s">
        <v>28</v>
      </c>
      <c r="B27" s="246"/>
      <c r="C27" s="246"/>
      <c r="D27" s="110"/>
      <c r="E27" s="112"/>
      <c r="F27" s="67"/>
      <c r="G27" s="197"/>
    </row>
    <row r="28" spans="1:7" ht="24.95" customHeight="1" x14ac:dyDescent="0.3">
      <c r="A28" s="119">
        <f>SUM(D27:D28)</f>
        <v>0</v>
      </c>
      <c r="B28" s="247"/>
      <c r="C28" s="247"/>
      <c r="D28" s="117"/>
      <c r="E28" s="113"/>
      <c r="F28" s="90"/>
      <c r="G28" s="184"/>
    </row>
    <row r="29" spans="1:7" ht="24.95" customHeight="1" x14ac:dyDescent="0.3">
      <c r="A29" s="243" t="s">
        <v>16</v>
      </c>
      <c r="B29" s="247"/>
      <c r="C29" s="247"/>
      <c r="D29" s="115"/>
      <c r="E29" s="114"/>
      <c r="F29" s="189"/>
      <c r="G29" s="191"/>
    </row>
    <row r="30" spans="1:7" ht="24.95" customHeight="1" x14ac:dyDescent="0.3">
      <c r="A30" s="243"/>
      <c r="B30" s="247"/>
      <c r="C30" s="247"/>
      <c r="D30" s="115"/>
      <c r="E30" s="114"/>
      <c r="F30" s="189"/>
      <c r="G30" s="191"/>
    </row>
    <row r="31" spans="1:7" ht="24.95" customHeight="1" x14ac:dyDescent="0.3">
      <c r="A31" s="243"/>
      <c r="B31" s="247"/>
      <c r="C31" s="247"/>
      <c r="D31" s="117"/>
      <c r="E31" s="114"/>
      <c r="F31" s="189"/>
      <c r="G31" s="191"/>
    </row>
    <row r="32" spans="1:7" ht="24.95" customHeight="1" x14ac:dyDescent="0.3">
      <c r="A32" s="243"/>
      <c r="B32" s="247"/>
      <c r="C32" s="247"/>
      <c r="D32" s="117"/>
      <c r="E32" s="114"/>
      <c r="F32" s="189"/>
      <c r="G32" s="191"/>
    </row>
    <row r="33" spans="1:7" ht="24.95" customHeight="1" x14ac:dyDescent="0.3">
      <c r="A33" s="243"/>
      <c r="B33" s="247"/>
      <c r="C33" s="247"/>
      <c r="D33" s="117"/>
      <c r="E33" s="114"/>
      <c r="F33" s="189"/>
      <c r="G33" s="191"/>
    </row>
    <row r="34" spans="1:7" ht="24.95" customHeight="1" x14ac:dyDescent="0.3">
      <c r="A34" s="243"/>
      <c r="B34" s="247"/>
      <c r="C34" s="247"/>
      <c r="D34" s="117"/>
      <c r="E34" s="114"/>
      <c r="F34" s="189"/>
      <c r="G34" s="191"/>
    </row>
    <row r="35" spans="1:7" ht="24.95" customHeight="1" x14ac:dyDescent="0.3">
      <c r="A35" s="243"/>
      <c r="B35" s="247"/>
      <c r="C35" s="247"/>
      <c r="D35" s="117"/>
      <c r="E35" s="114"/>
      <c r="F35" s="189"/>
      <c r="G35" s="191"/>
    </row>
    <row r="36" spans="1:7" ht="24.95" customHeight="1" x14ac:dyDescent="0.3">
      <c r="A36" s="243"/>
      <c r="B36" s="247"/>
      <c r="C36" s="247"/>
      <c r="D36" s="117"/>
      <c r="E36" s="114"/>
      <c r="F36" s="189"/>
      <c r="G36" s="191"/>
    </row>
    <row r="37" spans="1:7" ht="24.95" customHeight="1" x14ac:dyDescent="0.3">
      <c r="A37" s="119">
        <f>SUM(D29:D37)</f>
        <v>0</v>
      </c>
      <c r="B37" s="247"/>
      <c r="C37" s="247"/>
      <c r="D37" s="117"/>
      <c r="E37" s="114"/>
      <c r="F37" s="189"/>
      <c r="G37" s="191"/>
    </row>
    <row r="38" spans="1:7" ht="24.95" customHeight="1" x14ac:dyDescent="0.3">
      <c r="A38" s="121" t="s">
        <v>17</v>
      </c>
      <c r="B38" s="240"/>
      <c r="C38" s="247"/>
      <c r="D38" s="247"/>
      <c r="E38" s="240"/>
      <c r="F38" s="189"/>
      <c r="G38" s="191"/>
    </row>
    <row r="39" spans="1:7" ht="24.95" customHeight="1" x14ac:dyDescent="0.3">
      <c r="A39" s="121">
        <f>SUM(D38:D39)</f>
        <v>0</v>
      </c>
      <c r="B39" s="240"/>
      <c r="C39" s="247"/>
      <c r="D39" s="247"/>
      <c r="E39" s="240"/>
      <c r="F39" s="189"/>
      <c r="G39" s="191"/>
    </row>
    <row r="40" spans="1:7" ht="24.95" customHeight="1" x14ac:dyDescent="0.3">
      <c r="A40" s="121" t="s">
        <v>27</v>
      </c>
      <c r="B40" s="247"/>
      <c r="C40" s="247"/>
      <c r="D40" s="90"/>
      <c r="E40" s="113"/>
      <c r="F40" s="90"/>
      <c r="G40" s="184"/>
    </row>
    <row r="41" spans="1:7" ht="24.95" customHeight="1" thickBot="1" x14ac:dyDescent="0.35">
      <c r="A41" s="120">
        <f>SUM(D40:D41)</f>
        <v>0</v>
      </c>
      <c r="B41" s="248"/>
      <c r="C41" s="248"/>
      <c r="D41" s="122"/>
      <c r="E41" s="106"/>
      <c r="F41" s="122"/>
      <c r="G41" s="205"/>
    </row>
    <row r="42" spans="1:7" ht="24.95" customHeight="1" thickBot="1" x14ac:dyDescent="0.35">
      <c r="A42" s="252" t="s">
        <v>143</v>
      </c>
      <c r="B42" s="252"/>
      <c r="C42" s="68"/>
      <c r="D42" s="69"/>
      <c r="E42" s="69"/>
      <c r="F42" s="70"/>
      <c r="G42" s="21"/>
    </row>
    <row r="43" spans="1:7" ht="24.95" customHeight="1" x14ac:dyDescent="0.3">
      <c r="A43" s="253" t="s">
        <v>13</v>
      </c>
      <c r="B43" s="255" t="s">
        <v>142</v>
      </c>
      <c r="C43" s="255" t="s">
        <v>8</v>
      </c>
      <c r="D43" s="250" t="s">
        <v>78</v>
      </c>
      <c r="E43" s="250" t="s">
        <v>79</v>
      </c>
      <c r="F43" s="100" t="s">
        <v>91</v>
      </c>
      <c r="G43" s="101">
        <f>SUM(G45:G49)</f>
        <v>0</v>
      </c>
    </row>
    <row r="44" spans="1:7" ht="24.95" customHeight="1" thickBot="1" x14ac:dyDescent="0.35">
      <c r="A44" s="254"/>
      <c r="B44" s="256"/>
      <c r="C44" s="256"/>
      <c r="D44" s="251"/>
      <c r="E44" s="251"/>
      <c r="F44" s="103" t="s">
        <v>141</v>
      </c>
      <c r="G44" s="104">
        <f>SUM(G45:G48)</f>
        <v>0</v>
      </c>
    </row>
    <row r="45" spans="1:7" ht="24.95" customHeight="1" thickTop="1" x14ac:dyDescent="0.3">
      <c r="A45" s="257">
        <f>B25</f>
        <v>0</v>
      </c>
      <c r="B45" s="246">
        <f>G43</f>
        <v>0</v>
      </c>
      <c r="C45" s="246"/>
      <c r="D45" s="260">
        <f>A45-C45</f>
        <v>0</v>
      </c>
      <c r="E45" s="246">
        <f>B45-C45</f>
        <v>0</v>
      </c>
      <c r="F45" s="128" t="s">
        <v>28</v>
      </c>
      <c r="G45" s="149"/>
    </row>
    <row r="46" spans="1:7" ht="24.95" customHeight="1" x14ac:dyDescent="0.3">
      <c r="A46" s="258"/>
      <c r="B46" s="247"/>
      <c r="C46" s="247"/>
      <c r="D46" s="261"/>
      <c r="E46" s="247"/>
      <c r="F46" s="138" t="s">
        <v>16</v>
      </c>
      <c r="G46" s="150"/>
    </row>
    <row r="47" spans="1:7" ht="24.95" customHeight="1" x14ac:dyDescent="0.3">
      <c r="A47" s="258"/>
      <c r="B47" s="247"/>
      <c r="C47" s="247"/>
      <c r="D47" s="261"/>
      <c r="E47" s="247"/>
      <c r="F47" s="138" t="s">
        <v>17</v>
      </c>
      <c r="G47" s="150"/>
    </row>
    <row r="48" spans="1:7" ht="24.95" customHeight="1" x14ac:dyDescent="0.3">
      <c r="A48" s="258"/>
      <c r="B48" s="247"/>
      <c r="C48" s="247"/>
      <c r="D48" s="261"/>
      <c r="E48" s="247"/>
      <c r="F48" s="138" t="s">
        <v>113</v>
      </c>
      <c r="G48" s="150"/>
    </row>
    <row r="49" spans="1:7" ht="24.95" customHeight="1" thickBot="1" x14ac:dyDescent="0.35">
      <c r="A49" s="259"/>
      <c r="B49" s="248"/>
      <c r="C49" s="248"/>
      <c r="D49" s="262"/>
      <c r="E49" s="248"/>
      <c r="F49" s="102" t="s">
        <v>148</v>
      </c>
      <c r="G49" s="152"/>
    </row>
  </sheetData>
  <mergeCells count="47">
    <mergeCell ref="B21:B22"/>
    <mergeCell ref="C21:C22"/>
    <mergeCell ref="A23:B23"/>
    <mergeCell ref="E38:E39"/>
    <mergeCell ref="F26:G26"/>
    <mergeCell ref="B27:B28"/>
    <mergeCell ref="C27:C28"/>
    <mergeCell ref="A29:A36"/>
    <mergeCell ref="A7:A8"/>
    <mergeCell ref="A10:A17"/>
    <mergeCell ref="E19:E20"/>
    <mergeCell ref="D19:D20"/>
    <mergeCell ref="C19:C20"/>
    <mergeCell ref="B19:B20"/>
    <mergeCell ref="C10:C16"/>
    <mergeCell ref="B10:B16"/>
    <mergeCell ref="B17:B18"/>
    <mergeCell ref="C17:C18"/>
    <mergeCell ref="C7:C9"/>
    <mergeCell ref="B7:B9"/>
    <mergeCell ref="C1:E1"/>
    <mergeCell ref="A2:F2"/>
    <mergeCell ref="A3:B3"/>
    <mergeCell ref="F1:G1"/>
    <mergeCell ref="F6:G6"/>
    <mergeCell ref="D38:D39"/>
    <mergeCell ref="B40:B41"/>
    <mergeCell ref="C40:C41"/>
    <mergeCell ref="A42:B42"/>
    <mergeCell ref="C29:C33"/>
    <mergeCell ref="B29:B33"/>
    <mergeCell ref="C34:C35"/>
    <mergeCell ref="B34:B35"/>
    <mergeCell ref="B38:B39"/>
    <mergeCell ref="C38:C39"/>
    <mergeCell ref="C36:C37"/>
    <mergeCell ref="B36:B37"/>
    <mergeCell ref="A43:A44"/>
    <mergeCell ref="B43:B44"/>
    <mergeCell ref="C43:C44"/>
    <mergeCell ref="D43:D44"/>
    <mergeCell ref="E43:E44"/>
    <mergeCell ref="A45:A49"/>
    <mergeCell ref="B45:B49"/>
    <mergeCell ref="C45:C49"/>
    <mergeCell ref="D45:D49"/>
    <mergeCell ref="E45:E49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72" orientation="portrait" r:id="rId1"/>
  <ignoredErrors>
    <ignoredError sqref="G44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opLeftCell="A22" zoomScaleNormal="100" workbookViewId="0">
      <selection activeCell="I36" sqref="I36"/>
    </sheetView>
  </sheetViews>
  <sheetFormatPr defaultRowHeight="24.95" customHeight="1" x14ac:dyDescent="0.3"/>
  <cols>
    <col min="1" max="2" width="14.875" style="1" customWidth="1"/>
    <col min="3" max="3" width="17.875" style="1" customWidth="1"/>
    <col min="4" max="4" width="15" style="2" customWidth="1"/>
    <col min="5" max="5" width="19.25" style="1" customWidth="1"/>
    <col min="6" max="6" width="17.875" style="1" customWidth="1"/>
    <col min="7" max="7" width="17.5" style="1" customWidth="1"/>
    <col min="8" max="16384" width="9" style="1"/>
  </cols>
  <sheetData>
    <row r="1" spans="1:7" ht="24.95" customHeight="1" x14ac:dyDescent="0.25">
      <c r="A1" s="10"/>
      <c r="B1" s="55"/>
      <c r="C1" s="234" t="s">
        <v>61</v>
      </c>
      <c r="D1" s="234"/>
      <c r="E1" s="234"/>
      <c r="F1" s="235" t="s">
        <v>58</v>
      </c>
      <c r="G1" s="235"/>
    </row>
    <row r="2" spans="1:7" ht="24.95" customHeight="1" x14ac:dyDescent="0.3">
      <c r="A2" s="221" t="s">
        <v>140</v>
      </c>
      <c r="B2" s="221"/>
      <c r="C2" s="221"/>
      <c r="D2" s="221"/>
      <c r="E2" s="221"/>
      <c r="F2" s="221"/>
    </row>
    <row r="3" spans="1:7" ht="24.95" customHeight="1" x14ac:dyDescent="0.3">
      <c r="A3" s="221" t="s">
        <v>9</v>
      </c>
      <c r="B3" s="221"/>
      <c r="C3" s="3"/>
      <c r="D3" s="4"/>
      <c r="E3" s="5"/>
      <c r="F3" s="5"/>
    </row>
    <row r="4" spans="1:7" ht="24.95" customHeight="1" x14ac:dyDescent="0.3">
      <c r="A4" s="108" t="s">
        <v>59</v>
      </c>
      <c r="B4" s="56">
        <f>SUM(C7:C15)</f>
        <v>0</v>
      </c>
      <c r="C4" s="3"/>
      <c r="D4" s="4"/>
      <c r="E4" s="5"/>
      <c r="F4" s="5"/>
    </row>
    <row r="5" spans="1:7" ht="24.95" customHeight="1" thickBot="1" x14ac:dyDescent="0.35">
      <c r="A5" s="108" t="s">
        <v>60</v>
      </c>
      <c r="B5" s="56">
        <f>SUM(A8,A11,A13,A15)</f>
        <v>0</v>
      </c>
      <c r="C5" s="3"/>
      <c r="D5" s="4"/>
      <c r="E5" s="5"/>
      <c r="F5" s="5"/>
    </row>
    <row r="6" spans="1:7" ht="24.95" customHeight="1" thickBot="1" x14ac:dyDescent="0.35">
      <c r="A6" s="94" t="s">
        <v>2</v>
      </c>
      <c r="B6" s="95" t="s">
        <v>3</v>
      </c>
      <c r="C6" s="95" t="s">
        <v>4</v>
      </c>
      <c r="D6" s="96" t="s">
        <v>5</v>
      </c>
      <c r="E6" s="148" t="s">
        <v>6</v>
      </c>
      <c r="F6" s="211" t="s">
        <v>7</v>
      </c>
      <c r="G6" s="212"/>
    </row>
    <row r="7" spans="1:7" ht="24.95" customHeight="1" thickTop="1" x14ac:dyDescent="0.3">
      <c r="A7" s="139" t="s">
        <v>28</v>
      </c>
      <c r="B7" s="246"/>
      <c r="C7" s="246"/>
      <c r="D7" s="246"/>
      <c r="E7" s="269"/>
      <c r="F7" s="269"/>
      <c r="G7" s="208"/>
    </row>
    <row r="8" spans="1:7" ht="24.95" customHeight="1" x14ac:dyDescent="0.3">
      <c r="A8" s="141">
        <f>SUM(D7:D8)</f>
        <v>0</v>
      </c>
      <c r="B8" s="247"/>
      <c r="C8" s="247"/>
      <c r="D8" s="247"/>
      <c r="E8" s="267"/>
      <c r="F8" s="267"/>
      <c r="G8" s="206"/>
    </row>
    <row r="9" spans="1:7" ht="24.95" customHeight="1" x14ac:dyDescent="0.3">
      <c r="A9" s="243" t="s">
        <v>16</v>
      </c>
      <c r="B9" s="137"/>
      <c r="C9" s="137"/>
      <c r="D9" s="137"/>
      <c r="E9" s="136"/>
      <c r="F9" s="136"/>
      <c r="G9" s="206"/>
    </row>
    <row r="10" spans="1:7" ht="24.95" customHeight="1" x14ac:dyDescent="0.3">
      <c r="A10" s="243"/>
      <c r="B10" s="247"/>
      <c r="C10" s="247"/>
      <c r="D10" s="137"/>
      <c r="E10" s="136"/>
      <c r="F10" s="136"/>
      <c r="G10" s="206"/>
    </row>
    <row r="11" spans="1:7" ht="24.95" customHeight="1" x14ac:dyDescent="0.3">
      <c r="A11" s="141">
        <f>SUM(D9:D11)</f>
        <v>0</v>
      </c>
      <c r="B11" s="247"/>
      <c r="C11" s="247"/>
      <c r="D11" s="145"/>
      <c r="E11" s="138"/>
      <c r="F11" s="138"/>
      <c r="G11" s="206"/>
    </row>
    <row r="12" spans="1:7" ht="24.95" customHeight="1" x14ac:dyDescent="0.3">
      <c r="A12" s="144" t="s">
        <v>17</v>
      </c>
      <c r="B12" s="137"/>
      <c r="C12" s="145"/>
      <c r="D12" s="145"/>
      <c r="E12" s="136"/>
      <c r="F12" s="136"/>
      <c r="G12" s="206"/>
    </row>
    <row r="13" spans="1:7" ht="24.95" customHeight="1" x14ac:dyDescent="0.3">
      <c r="A13" s="144">
        <f>SUM(D12:D13)</f>
        <v>0</v>
      </c>
      <c r="B13" s="137"/>
      <c r="C13" s="145"/>
      <c r="D13" s="145"/>
      <c r="E13" s="136"/>
      <c r="F13" s="136"/>
      <c r="G13" s="206"/>
    </row>
    <row r="14" spans="1:7" ht="24.95" customHeight="1" x14ac:dyDescent="0.3">
      <c r="A14" s="144" t="s">
        <v>27</v>
      </c>
      <c r="B14" s="247"/>
      <c r="C14" s="247"/>
      <c r="D14" s="247"/>
      <c r="E14" s="267"/>
      <c r="F14" s="267"/>
      <c r="G14" s="206"/>
    </row>
    <row r="15" spans="1:7" ht="24.95" customHeight="1" thickBot="1" x14ac:dyDescent="0.35">
      <c r="A15" s="142">
        <f>SUM(D14:D15)</f>
        <v>0</v>
      </c>
      <c r="B15" s="248"/>
      <c r="C15" s="248"/>
      <c r="D15" s="248"/>
      <c r="E15" s="276"/>
      <c r="F15" s="276"/>
      <c r="G15" s="207"/>
    </row>
    <row r="16" spans="1:7" ht="24.95" customHeight="1" x14ac:dyDescent="0.3">
      <c r="A16" s="221" t="s">
        <v>65</v>
      </c>
      <c r="B16" s="221"/>
      <c r="C16" s="3"/>
      <c r="D16" s="4"/>
      <c r="E16" s="5"/>
      <c r="F16" s="5"/>
    </row>
    <row r="17" spans="1:7" ht="24.95" customHeight="1" x14ac:dyDescent="0.3">
      <c r="A17" s="108" t="s">
        <v>62</v>
      </c>
      <c r="B17" s="56">
        <f>SUM(C20:C32)</f>
        <v>0</v>
      </c>
      <c r="C17" s="3"/>
      <c r="D17" s="4"/>
      <c r="E17" s="5"/>
      <c r="F17" s="5"/>
    </row>
    <row r="18" spans="1:7" ht="24.95" customHeight="1" thickBot="1" x14ac:dyDescent="0.35">
      <c r="A18" s="108" t="s">
        <v>63</v>
      </c>
      <c r="B18" s="56">
        <f>SUM(A21,A28,A30,A32)</f>
        <v>0</v>
      </c>
      <c r="C18" s="3"/>
      <c r="D18" s="4"/>
      <c r="E18" s="5"/>
      <c r="F18" s="5"/>
    </row>
    <row r="19" spans="1:7" ht="24.95" customHeight="1" thickBot="1" x14ac:dyDescent="0.35">
      <c r="A19" s="94" t="s">
        <v>2</v>
      </c>
      <c r="B19" s="95" t="s">
        <v>3</v>
      </c>
      <c r="C19" s="95" t="s">
        <v>4</v>
      </c>
      <c r="D19" s="96" t="s">
        <v>64</v>
      </c>
      <c r="E19" s="148" t="s">
        <v>6</v>
      </c>
      <c r="F19" s="211" t="s">
        <v>7</v>
      </c>
      <c r="G19" s="212"/>
    </row>
    <row r="20" spans="1:7" ht="24.95" customHeight="1" thickTop="1" x14ac:dyDescent="0.3">
      <c r="A20" s="139" t="s">
        <v>28</v>
      </c>
      <c r="B20" s="246"/>
      <c r="C20" s="246"/>
      <c r="D20" s="246"/>
      <c r="E20" s="246"/>
      <c r="F20" s="130"/>
      <c r="G20" s="210"/>
    </row>
    <row r="21" spans="1:7" ht="24.95" customHeight="1" x14ac:dyDescent="0.3">
      <c r="A21" s="141">
        <f>SUM(D20:D21)</f>
        <v>0</v>
      </c>
      <c r="B21" s="247"/>
      <c r="C21" s="247"/>
      <c r="D21" s="247"/>
      <c r="E21" s="247"/>
      <c r="F21" s="145"/>
      <c r="G21" s="209"/>
    </row>
    <row r="22" spans="1:7" ht="24.95" customHeight="1" x14ac:dyDescent="0.3">
      <c r="A22" s="243" t="s">
        <v>16</v>
      </c>
      <c r="B22" s="137"/>
      <c r="C22" s="137"/>
      <c r="D22" s="137"/>
      <c r="E22" s="138"/>
      <c r="F22" s="189"/>
      <c r="G22" s="191"/>
    </row>
    <row r="23" spans="1:7" ht="24.95" customHeight="1" x14ac:dyDescent="0.3">
      <c r="A23" s="243"/>
      <c r="B23" s="247"/>
      <c r="C23" s="247"/>
      <c r="D23" s="137"/>
      <c r="E23" s="138"/>
      <c r="F23" s="189"/>
      <c r="G23" s="191"/>
    </row>
    <row r="24" spans="1:7" ht="24.95" customHeight="1" x14ac:dyDescent="0.3">
      <c r="A24" s="243"/>
      <c r="B24" s="247"/>
      <c r="C24" s="247"/>
      <c r="D24" s="145"/>
      <c r="E24" s="138"/>
      <c r="F24" s="189"/>
      <c r="G24" s="191"/>
    </row>
    <row r="25" spans="1:7" ht="24.95" customHeight="1" x14ac:dyDescent="0.3">
      <c r="A25" s="243"/>
      <c r="B25" s="247"/>
      <c r="C25" s="247"/>
      <c r="D25" s="145"/>
      <c r="E25" s="138"/>
      <c r="F25" s="189"/>
      <c r="G25" s="191"/>
    </row>
    <row r="26" spans="1:7" ht="24.95" customHeight="1" x14ac:dyDescent="0.3">
      <c r="A26" s="243"/>
      <c r="B26" s="247"/>
      <c r="C26" s="247"/>
      <c r="D26" s="145"/>
      <c r="E26" s="138"/>
      <c r="F26" s="189"/>
      <c r="G26" s="191"/>
    </row>
    <row r="27" spans="1:7" ht="24.95" customHeight="1" x14ac:dyDescent="0.3">
      <c r="A27" s="243"/>
      <c r="B27" s="247"/>
      <c r="C27" s="247"/>
      <c r="D27" s="145"/>
      <c r="E27" s="138"/>
      <c r="F27" s="189"/>
      <c r="G27" s="191"/>
    </row>
    <row r="28" spans="1:7" ht="24.95" customHeight="1" x14ac:dyDescent="0.3">
      <c r="A28" s="141">
        <f>SUM(D22:D28)</f>
        <v>0</v>
      </c>
      <c r="B28" s="138"/>
      <c r="C28" s="90"/>
      <c r="D28" s="145"/>
      <c r="E28" s="138"/>
      <c r="F28" s="189"/>
      <c r="G28" s="191"/>
    </row>
    <row r="29" spans="1:7" ht="24.95" customHeight="1" x14ac:dyDescent="0.3">
      <c r="A29" s="144" t="s">
        <v>17</v>
      </c>
      <c r="B29" s="240"/>
      <c r="C29" s="247"/>
      <c r="D29" s="247"/>
      <c r="E29" s="240"/>
      <c r="F29" s="189"/>
      <c r="G29" s="191"/>
    </row>
    <row r="30" spans="1:7" ht="24.95" customHeight="1" x14ac:dyDescent="0.3">
      <c r="A30" s="144">
        <f>SUM(D29:D30)</f>
        <v>0</v>
      </c>
      <c r="B30" s="240"/>
      <c r="C30" s="247"/>
      <c r="D30" s="247"/>
      <c r="E30" s="240"/>
      <c r="F30" s="189"/>
      <c r="G30" s="191"/>
    </row>
    <row r="31" spans="1:7" ht="24.95" customHeight="1" x14ac:dyDescent="0.3">
      <c r="A31" s="144" t="s">
        <v>27</v>
      </c>
      <c r="B31" s="247"/>
      <c r="C31" s="247"/>
      <c r="D31" s="267"/>
      <c r="E31" s="267"/>
      <c r="F31" s="90"/>
      <c r="G31" s="184"/>
    </row>
    <row r="32" spans="1:7" ht="24.95" customHeight="1" thickBot="1" x14ac:dyDescent="0.35">
      <c r="A32" s="142">
        <f>SUM(D31:D32)</f>
        <v>0</v>
      </c>
      <c r="B32" s="248"/>
      <c r="C32" s="248"/>
      <c r="D32" s="276"/>
      <c r="E32" s="276"/>
      <c r="F32" s="122"/>
      <c r="G32" s="205"/>
    </row>
    <row r="33" spans="1:7" ht="24.95" customHeight="1" thickBot="1" x14ac:dyDescent="0.35">
      <c r="A33" s="252" t="s">
        <v>144</v>
      </c>
      <c r="B33" s="252"/>
      <c r="C33" s="68"/>
      <c r="D33" s="69"/>
      <c r="E33" s="69"/>
      <c r="F33" s="70"/>
      <c r="G33" s="21"/>
    </row>
    <row r="34" spans="1:7" ht="24.95" customHeight="1" x14ac:dyDescent="0.3">
      <c r="A34" s="253" t="s">
        <v>13</v>
      </c>
      <c r="B34" s="255" t="s">
        <v>145</v>
      </c>
      <c r="C34" s="255" t="s">
        <v>8</v>
      </c>
      <c r="D34" s="250" t="s">
        <v>78</v>
      </c>
      <c r="E34" s="250" t="s">
        <v>79</v>
      </c>
      <c r="F34" s="100" t="s">
        <v>91</v>
      </c>
      <c r="G34" s="101">
        <f>SUM(G36:G40)</f>
        <v>0</v>
      </c>
    </row>
    <row r="35" spans="1:7" ht="24.95" customHeight="1" thickBot="1" x14ac:dyDescent="0.35">
      <c r="A35" s="254"/>
      <c r="B35" s="256"/>
      <c r="C35" s="256"/>
      <c r="D35" s="251"/>
      <c r="E35" s="251"/>
      <c r="F35" s="103" t="s">
        <v>141</v>
      </c>
      <c r="G35" s="104">
        <f>SUM(G36:G39)</f>
        <v>0</v>
      </c>
    </row>
    <row r="36" spans="1:7" ht="24.95" customHeight="1" thickTop="1" x14ac:dyDescent="0.3">
      <c r="A36" s="257">
        <f>B18</f>
        <v>0</v>
      </c>
      <c r="B36" s="246">
        <f>G34</f>
        <v>0</v>
      </c>
      <c r="C36" s="246"/>
      <c r="D36" s="260">
        <f>A36-C36</f>
        <v>0</v>
      </c>
      <c r="E36" s="246">
        <f>B36-C36</f>
        <v>0</v>
      </c>
      <c r="F36" s="128" t="s">
        <v>28</v>
      </c>
      <c r="G36" s="149"/>
    </row>
    <row r="37" spans="1:7" ht="24.95" customHeight="1" x14ac:dyDescent="0.3">
      <c r="A37" s="258"/>
      <c r="B37" s="247"/>
      <c r="C37" s="247"/>
      <c r="D37" s="261"/>
      <c r="E37" s="247"/>
      <c r="F37" s="138" t="s">
        <v>16</v>
      </c>
      <c r="G37" s="150"/>
    </row>
    <row r="38" spans="1:7" ht="24.95" customHeight="1" x14ac:dyDescent="0.3">
      <c r="A38" s="258"/>
      <c r="B38" s="247"/>
      <c r="C38" s="247"/>
      <c r="D38" s="261"/>
      <c r="E38" s="247"/>
      <c r="F38" s="138" t="s">
        <v>17</v>
      </c>
      <c r="G38" s="150"/>
    </row>
    <row r="39" spans="1:7" ht="24.95" customHeight="1" x14ac:dyDescent="0.3">
      <c r="A39" s="258"/>
      <c r="B39" s="247"/>
      <c r="C39" s="247"/>
      <c r="D39" s="261"/>
      <c r="E39" s="247"/>
      <c r="F39" s="138" t="s">
        <v>113</v>
      </c>
      <c r="G39" s="150"/>
    </row>
    <row r="40" spans="1:7" ht="24.95" customHeight="1" thickBot="1" x14ac:dyDescent="0.35">
      <c r="A40" s="259"/>
      <c r="B40" s="248"/>
      <c r="C40" s="248"/>
      <c r="D40" s="262"/>
      <c r="E40" s="248"/>
      <c r="F40" s="102" t="s">
        <v>68</v>
      </c>
      <c r="G40" s="152"/>
    </row>
  </sheetData>
  <mergeCells count="48">
    <mergeCell ref="C1:E1"/>
    <mergeCell ref="A2:F2"/>
    <mergeCell ref="A3:B3"/>
    <mergeCell ref="B7:B8"/>
    <mergeCell ref="C7:C8"/>
    <mergeCell ref="D7:D8"/>
    <mergeCell ref="E7:E8"/>
    <mergeCell ref="F7:F8"/>
    <mergeCell ref="F6:G6"/>
    <mergeCell ref="F1:G1"/>
    <mergeCell ref="A9:A10"/>
    <mergeCell ref="B10:B11"/>
    <mergeCell ref="C10:C11"/>
    <mergeCell ref="B14:B15"/>
    <mergeCell ref="C14:C15"/>
    <mergeCell ref="E14:E15"/>
    <mergeCell ref="F14:F15"/>
    <mergeCell ref="A16:B16"/>
    <mergeCell ref="F19:G19"/>
    <mergeCell ref="B20:B21"/>
    <mergeCell ref="C20:C21"/>
    <mergeCell ref="D20:D21"/>
    <mergeCell ref="E20:E21"/>
    <mergeCell ref="D14:D15"/>
    <mergeCell ref="B29:B30"/>
    <mergeCell ref="C29:C30"/>
    <mergeCell ref="D29:D30"/>
    <mergeCell ref="E29:E30"/>
    <mergeCell ref="A22:A27"/>
    <mergeCell ref="B23:B25"/>
    <mergeCell ref="C23:C25"/>
    <mergeCell ref="B26:B27"/>
    <mergeCell ref="C26:C27"/>
    <mergeCell ref="B31:B32"/>
    <mergeCell ref="C31:C32"/>
    <mergeCell ref="D31:D32"/>
    <mergeCell ref="E31:E32"/>
    <mergeCell ref="A33:B33"/>
    <mergeCell ref="A36:A40"/>
    <mergeCell ref="B36:B40"/>
    <mergeCell ref="C36:C40"/>
    <mergeCell ref="D36:D40"/>
    <mergeCell ref="E36:E40"/>
    <mergeCell ref="A34:A35"/>
    <mergeCell ref="B34:B35"/>
    <mergeCell ref="C34:C35"/>
    <mergeCell ref="D34:D35"/>
    <mergeCell ref="E34:E35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6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opLeftCell="A25" zoomScaleNormal="100" workbookViewId="0">
      <selection activeCell="K39" sqref="K39"/>
    </sheetView>
  </sheetViews>
  <sheetFormatPr defaultRowHeight="24.95" customHeight="1" x14ac:dyDescent="0.3"/>
  <cols>
    <col min="1" max="2" width="14.875" style="1" customWidth="1"/>
    <col min="3" max="3" width="17.875" style="1" customWidth="1"/>
    <col min="4" max="4" width="15" style="2" customWidth="1"/>
    <col min="5" max="5" width="16.625" style="1" customWidth="1"/>
    <col min="6" max="6" width="17.75" style="1" customWidth="1"/>
    <col min="7" max="7" width="20.5" style="1" customWidth="1"/>
    <col min="8" max="16384" width="9" style="1"/>
  </cols>
  <sheetData>
    <row r="1" spans="1:7" ht="24.95" customHeight="1" x14ac:dyDescent="0.25">
      <c r="A1" s="10"/>
      <c r="B1" s="55"/>
      <c r="C1" s="234" t="s">
        <v>61</v>
      </c>
      <c r="D1" s="234"/>
      <c r="E1" s="234"/>
      <c r="F1" s="235" t="s">
        <v>58</v>
      </c>
      <c r="G1" s="235"/>
    </row>
    <row r="2" spans="1:7" ht="24.95" customHeight="1" x14ac:dyDescent="0.3">
      <c r="A2" s="221" t="s">
        <v>139</v>
      </c>
      <c r="B2" s="221"/>
      <c r="C2" s="221"/>
      <c r="D2" s="221"/>
      <c r="E2" s="221"/>
      <c r="F2" s="221"/>
    </row>
    <row r="3" spans="1:7" ht="24.95" customHeight="1" x14ac:dyDescent="0.3">
      <c r="A3" s="221" t="s">
        <v>9</v>
      </c>
      <c r="B3" s="221"/>
      <c r="C3" s="3"/>
      <c r="D3" s="4"/>
      <c r="E3" s="5"/>
      <c r="F3" s="5"/>
    </row>
    <row r="4" spans="1:7" ht="24.95" customHeight="1" x14ac:dyDescent="0.3">
      <c r="A4" s="108" t="s">
        <v>59</v>
      </c>
      <c r="B4" s="56">
        <f>SUM(C7:C15)</f>
        <v>0</v>
      </c>
      <c r="C4" s="3"/>
      <c r="D4" s="4"/>
      <c r="E4" s="5"/>
      <c r="F4" s="5"/>
    </row>
    <row r="5" spans="1:7" ht="24.95" customHeight="1" thickBot="1" x14ac:dyDescent="0.35">
      <c r="A5" s="108" t="s">
        <v>60</v>
      </c>
      <c r="B5" s="56">
        <f>SUM(A8,A11,A13,A15)</f>
        <v>0</v>
      </c>
      <c r="C5" s="3"/>
      <c r="D5" s="4"/>
      <c r="E5" s="5"/>
      <c r="F5" s="5"/>
    </row>
    <row r="6" spans="1:7" ht="24.95" customHeight="1" thickBot="1" x14ac:dyDescent="0.35">
      <c r="A6" s="94" t="s">
        <v>2</v>
      </c>
      <c r="B6" s="95" t="s">
        <v>3</v>
      </c>
      <c r="C6" s="95" t="s">
        <v>4</v>
      </c>
      <c r="D6" s="96" t="s">
        <v>5</v>
      </c>
      <c r="E6" s="148" t="s">
        <v>6</v>
      </c>
      <c r="F6" s="211" t="s">
        <v>7</v>
      </c>
      <c r="G6" s="212"/>
    </row>
    <row r="7" spans="1:7" ht="24.95" customHeight="1" thickTop="1" x14ac:dyDescent="0.3">
      <c r="A7" s="139" t="s">
        <v>28</v>
      </c>
      <c r="B7" s="246"/>
      <c r="C7" s="246"/>
      <c r="D7" s="246"/>
      <c r="E7" s="269"/>
      <c r="F7" s="269"/>
      <c r="G7" s="208"/>
    </row>
    <row r="8" spans="1:7" ht="24.95" customHeight="1" x14ac:dyDescent="0.3">
      <c r="A8" s="141">
        <f>SUM(D7:D8)</f>
        <v>0</v>
      </c>
      <c r="B8" s="247"/>
      <c r="C8" s="247"/>
      <c r="D8" s="247"/>
      <c r="E8" s="267"/>
      <c r="F8" s="267"/>
      <c r="G8" s="206"/>
    </row>
    <row r="9" spans="1:7" ht="24.95" customHeight="1" x14ac:dyDescent="0.3">
      <c r="A9" s="243" t="s">
        <v>16</v>
      </c>
      <c r="B9" s="137"/>
      <c r="C9" s="137"/>
      <c r="D9" s="137"/>
      <c r="E9" s="136"/>
      <c r="F9" s="136"/>
      <c r="G9" s="206"/>
    </row>
    <row r="10" spans="1:7" ht="24.95" customHeight="1" x14ac:dyDescent="0.3">
      <c r="A10" s="243"/>
      <c r="B10" s="247"/>
      <c r="C10" s="247"/>
      <c r="D10" s="137"/>
      <c r="E10" s="136"/>
      <c r="F10" s="136"/>
      <c r="G10" s="206"/>
    </row>
    <row r="11" spans="1:7" ht="24.95" customHeight="1" x14ac:dyDescent="0.3">
      <c r="A11" s="141">
        <f>SUM(D9:D11)</f>
        <v>0</v>
      </c>
      <c r="B11" s="247"/>
      <c r="C11" s="247"/>
      <c r="D11" s="145"/>
      <c r="E11" s="138"/>
      <c r="F11" s="138"/>
      <c r="G11" s="206"/>
    </row>
    <row r="12" spans="1:7" ht="24.95" customHeight="1" x14ac:dyDescent="0.3">
      <c r="A12" s="144" t="s">
        <v>17</v>
      </c>
      <c r="B12" s="137"/>
      <c r="C12" s="145"/>
      <c r="D12" s="145"/>
      <c r="E12" s="136"/>
      <c r="F12" s="136"/>
      <c r="G12" s="206"/>
    </row>
    <row r="13" spans="1:7" ht="24.95" customHeight="1" x14ac:dyDescent="0.3">
      <c r="A13" s="144">
        <f>SUM(D12:D13)</f>
        <v>0</v>
      </c>
      <c r="B13" s="137"/>
      <c r="C13" s="145"/>
      <c r="D13" s="145"/>
      <c r="E13" s="136"/>
      <c r="F13" s="136"/>
      <c r="G13" s="206"/>
    </row>
    <row r="14" spans="1:7" ht="24.95" customHeight="1" x14ac:dyDescent="0.3">
      <c r="A14" s="144" t="s">
        <v>27</v>
      </c>
      <c r="B14" s="247"/>
      <c r="C14" s="247"/>
      <c r="D14" s="247"/>
      <c r="E14" s="267"/>
      <c r="F14" s="267"/>
      <c r="G14" s="206"/>
    </row>
    <row r="15" spans="1:7" ht="24.95" customHeight="1" thickBot="1" x14ac:dyDescent="0.35">
      <c r="A15" s="142">
        <f>SUM(D14:D15)</f>
        <v>0</v>
      </c>
      <c r="B15" s="248"/>
      <c r="C15" s="248"/>
      <c r="D15" s="248"/>
      <c r="E15" s="276"/>
      <c r="F15" s="276"/>
      <c r="G15" s="207"/>
    </row>
    <row r="16" spans="1:7" ht="24.95" customHeight="1" x14ac:dyDescent="0.3">
      <c r="A16" s="221" t="s">
        <v>65</v>
      </c>
      <c r="B16" s="221"/>
      <c r="C16" s="3"/>
      <c r="D16" s="4"/>
      <c r="E16" s="5"/>
      <c r="F16" s="5"/>
    </row>
    <row r="17" spans="1:7" ht="24.95" customHeight="1" x14ac:dyDescent="0.3">
      <c r="A17" s="108" t="s">
        <v>62</v>
      </c>
      <c r="B17" s="56">
        <f>SUM(C20:C32)</f>
        <v>0</v>
      </c>
      <c r="C17" s="3"/>
      <c r="D17" s="4"/>
      <c r="E17" s="5"/>
      <c r="F17" s="5"/>
    </row>
    <row r="18" spans="1:7" ht="24.95" customHeight="1" thickBot="1" x14ac:dyDescent="0.35">
      <c r="A18" s="108" t="s">
        <v>63</v>
      </c>
      <c r="B18" s="56">
        <f>SUM(A21,A28,A30,A32)</f>
        <v>0</v>
      </c>
      <c r="C18" s="3"/>
      <c r="D18" s="4"/>
      <c r="E18" s="5"/>
      <c r="F18" s="5"/>
    </row>
    <row r="19" spans="1:7" ht="24.95" customHeight="1" thickBot="1" x14ac:dyDescent="0.35">
      <c r="A19" s="94" t="s">
        <v>2</v>
      </c>
      <c r="B19" s="95" t="s">
        <v>3</v>
      </c>
      <c r="C19" s="95" t="s">
        <v>4</v>
      </c>
      <c r="D19" s="96" t="s">
        <v>64</v>
      </c>
      <c r="E19" s="148" t="s">
        <v>6</v>
      </c>
      <c r="F19" s="211" t="s">
        <v>7</v>
      </c>
      <c r="G19" s="212"/>
    </row>
    <row r="20" spans="1:7" ht="24.95" customHeight="1" thickTop="1" x14ac:dyDescent="0.3">
      <c r="A20" s="139" t="s">
        <v>28</v>
      </c>
      <c r="B20" s="246"/>
      <c r="C20" s="246"/>
      <c r="D20" s="246"/>
      <c r="E20" s="246"/>
      <c r="F20" s="246"/>
      <c r="G20" s="280"/>
    </row>
    <row r="21" spans="1:7" ht="24.95" customHeight="1" x14ac:dyDescent="0.3">
      <c r="A21" s="141">
        <f>SUM(D20:D21)</f>
        <v>0</v>
      </c>
      <c r="B21" s="247"/>
      <c r="C21" s="247"/>
      <c r="D21" s="247"/>
      <c r="E21" s="247"/>
      <c r="F21" s="247"/>
      <c r="G21" s="281"/>
    </row>
    <row r="22" spans="1:7" ht="24.95" customHeight="1" x14ac:dyDescent="0.3">
      <c r="A22" s="243" t="s">
        <v>16</v>
      </c>
      <c r="B22" s="137"/>
      <c r="C22" s="137"/>
      <c r="D22" s="137"/>
      <c r="E22" s="138"/>
      <c r="F22" s="240"/>
      <c r="G22" s="279"/>
    </row>
    <row r="23" spans="1:7" ht="24.95" customHeight="1" x14ac:dyDescent="0.3">
      <c r="A23" s="243"/>
      <c r="B23" s="247"/>
      <c r="C23" s="247"/>
      <c r="D23" s="137"/>
      <c r="E23" s="138"/>
      <c r="F23" s="240"/>
      <c r="G23" s="279"/>
    </row>
    <row r="24" spans="1:7" ht="24.95" customHeight="1" x14ac:dyDescent="0.3">
      <c r="A24" s="243"/>
      <c r="B24" s="247"/>
      <c r="C24" s="247"/>
      <c r="D24" s="145"/>
      <c r="E24" s="138"/>
      <c r="F24" s="240"/>
      <c r="G24" s="279"/>
    </row>
    <row r="25" spans="1:7" ht="24.95" customHeight="1" x14ac:dyDescent="0.3">
      <c r="A25" s="243"/>
      <c r="B25" s="247"/>
      <c r="C25" s="247"/>
      <c r="D25" s="145"/>
      <c r="E25" s="138"/>
      <c r="F25" s="240"/>
      <c r="G25" s="279"/>
    </row>
    <row r="26" spans="1:7" ht="24.95" customHeight="1" x14ac:dyDescent="0.3">
      <c r="A26" s="243"/>
      <c r="B26" s="247"/>
      <c r="C26" s="247"/>
      <c r="D26" s="145"/>
      <c r="E26" s="138"/>
      <c r="F26" s="240"/>
      <c r="G26" s="279"/>
    </row>
    <row r="27" spans="1:7" ht="24.95" customHeight="1" x14ac:dyDescent="0.3">
      <c r="A27" s="243"/>
      <c r="B27" s="247"/>
      <c r="C27" s="247"/>
      <c r="D27" s="145"/>
      <c r="E27" s="138"/>
      <c r="F27" s="240"/>
      <c r="G27" s="279"/>
    </row>
    <row r="28" spans="1:7" ht="24.95" customHeight="1" x14ac:dyDescent="0.3">
      <c r="A28" s="141">
        <f>SUM(D22:D28)</f>
        <v>0</v>
      </c>
      <c r="B28" s="138"/>
      <c r="C28" s="90"/>
      <c r="D28" s="145"/>
      <c r="E28" s="138"/>
      <c r="F28" s="240"/>
      <c r="G28" s="279"/>
    </row>
    <row r="29" spans="1:7" ht="24.95" customHeight="1" x14ac:dyDescent="0.3">
      <c r="A29" s="144" t="s">
        <v>17</v>
      </c>
      <c r="B29" s="240"/>
      <c r="C29" s="247"/>
      <c r="D29" s="247"/>
      <c r="E29" s="240"/>
      <c r="F29" s="240"/>
      <c r="G29" s="279"/>
    </row>
    <row r="30" spans="1:7" ht="24.95" customHeight="1" x14ac:dyDescent="0.3">
      <c r="A30" s="144">
        <f>SUM(D29:D30)</f>
        <v>0</v>
      </c>
      <c r="B30" s="240"/>
      <c r="C30" s="247"/>
      <c r="D30" s="247"/>
      <c r="E30" s="240"/>
      <c r="F30" s="240"/>
      <c r="G30" s="279"/>
    </row>
    <row r="31" spans="1:7" ht="24.95" customHeight="1" x14ac:dyDescent="0.3">
      <c r="A31" s="144" t="s">
        <v>27</v>
      </c>
      <c r="B31" s="247"/>
      <c r="C31" s="247"/>
      <c r="D31" s="267"/>
      <c r="E31" s="267"/>
      <c r="F31" s="267"/>
      <c r="G31" s="277"/>
    </row>
    <row r="32" spans="1:7" ht="24.95" customHeight="1" thickBot="1" x14ac:dyDescent="0.35">
      <c r="A32" s="142">
        <f>SUM(D31:D32)</f>
        <v>0</v>
      </c>
      <c r="B32" s="248"/>
      <c r="C32" s="248"/>
      <c r="D32" s="276"/>
      <c r="E32" s="276"/>
      <c r="F32" s="276"/>
      <c r="G32" s="278"/>
    </row>
    <row r="33" spans="1:7" ht="24.95" customHeight="1" thickBot="1" x14ac:dyDescent="0.35">
      <c r="A33" s="252" t="s">
        <v>146</v>
      </c>
      <c r="B33" s="252"/>
      <c r="C33" s="68"/>
      <c r="D33" s="69"/>
      <c r="E33" s="69"/>
      <c r="F33" s="70"/>
      <c r="G33" s="21"/>
    </row>
    <row r="34" spans="1:7" ht="24.95" customHeight="1" x14ac:dyDescent="0.3">
      <c r="A34" s="253" t="s">
        <v>13</v>
      </c>
      <c r="B34" s="255" t="s">
        <v>147</v>
      </c>
      <c r="C34" s="255" t="s">
        <v>8</v>
      </c>
      <c r="D34" s="250" t="s">
        <v>78</v>
      </c>
      <c r="E34" s="250" t="s">
        <v>79</v>
      </c>
      <c r="F34" s="100" t="s">
        <v>91</v>
      </c>
      <c r="G34" s="101">
        <f>SUM(G36:G40)</f>
        <v>0</v>
      </c>
    </row>
    <row r="35" spans="1:7" ht="24.95" customHeight="1" thickBot="1" x14ac:dyDescent="0.35">
      <c r="A35" s="254"/>
      <c r="B35" s="256"/>
      <c r="C35" s="256"/>
      <c r="D35" s="251"/>
      <c r="E35" s="251"/>
      <c r="F35" s="103" t="s">
        <v>136</v>
      </c>
      <c r="G35" s="104">
        <f>SUM(G36:G39)</f>
        <v>0</v>
      </c>
    </row>
    <row r="36" spans="1:7" ht="24.95" customHeight="1" thickTop="1" x14ac:dyDescent="0.3">
      <c r="A36" s="257">
        <f>B18</f>
        <v>0</v>
      </c>
      <c r="B36" s="246">
        <f>G34</f>
        <v>0</v>
      </c>
      <c r="C36" s="246"/>
      <c r="D36" s="260">
        <f>A36-C36</f>
        <v>0</v>
      </c>
      <c r="E36" s="246">
        <f>B36-C36</f>
        <v>0</v>
      </c>
      <c r="F36" s="128" t="s">
        <v>28</v>
      </c>
      <c r="G36" s="149"/>
    </row>
    <row r="37" spans="1:7" ht="24.95" customHeight="1" x14ac:dyDescent="0.3">
      <c r="A37" s="258"/>
      <c r="B37" s="247"/>
      <c r="C37" s="247"/>
      <c r="D37" s="261"/>
      <c r="E37" s="247"/>
      <c r="F37" s="138" t="s">
        <v>16</v>
      </c>
      <c r="G37" s="150"/>
    </row>
    <row r="38" spans="1:7" ht="24.95" customHeight="1" x14ac:dyDescent="0.3">
      <c r="A38" s="258"/>
      <c r="B38" s="247"/>
      <c r="C38" s="247"/>
      <c r="D38" s="261"/>
      <c r="E38" s="247"/>
      <c r="F38" s="138" t="s">
        <v>17</v>
      </c>
      <c r="G38" s="150"/>
    </row>
    <row r="39" spans="1:7" ht="24.95" customHeight="1" x14ac:dyDescent="0.3">
      <c r="A39" s="258"/>
      <c r="B39" s="247"/>
      <c r="C39" s="247"/>
      <c r="D39" s="261"/>
      <c r="E39" s="247"/>
      <c r="F39" s="138" t="s">
        <v>113</v>
      </c>
      <c r="G39" s="150"/>
    </row>
    <row r="40" spans="1:7" ht="24.95" customHeight="1" thickBot="1" x14ac:dyDescent="0.35">
      <c r="A40" s="259"/>
      <c r="B40" s="248"/>
      <c r="C40" s="248"/>
      <c r="D40" s="262"/>
      <c r="E40" s="248"/>
      <c r="F40" s="102" t="s">
        <v>68</v>
      </c>
      <c r="G40" s="152"/>
    </row>
  </sheetData>
  <mergeCells count="58">
    <mergeCell ref="C1:E1"/>
    <mergeCell ref="A2:F2"/>
    <mergeCell ref="A3:B3"/>
    <mergeCell ref="B7:B8"/>
    <mergeCell ref="C7:C8"/>
    <mergeCell ref="D7:D8"/>
    <mergeCell ref="E7:E8"/>
    <mergeCell ref="F7:F8"/>
    <mergeCell ref="F6:G6"/>
    <mergeCell ref="F1:G1"/>
    <mergeCell ref="A9:A10"/>
    <mergeCell ref="B10:B11"/>
    <mergeCell ref="C10:C11"/>
    <mergeCell ref="B14:B15"/>
    <mergeCell ref="C14:C15"/>
    <mergeCell ref="C26:C27"/>
    <mergeCell ref="F26:G26"/>
    <mergeCell ref="E14:E15"/>
    <mergeCell ref="F14:F15"/>
    <mergeCell ref="A16:B16"/>
    <mergeCell ref="F19:G19"/>
    <mergeCell ref="B20:B21"/>
    <mergeCell ref="C20:C21"/>
    <mergeCell ref="D20:D21"/>
    <mergeCell ref="E20:E21"/>
    <mergeCell ref="F20:G21"/>
    <mergeCell ref="D14:D15"/>
    <mergeCell ref="A33:B33"/>
    <mergeCell ref="F27:G27"/>
    <mergeCell ref="F28:G28"/>
    <mergeCell ref="B29:B30"/>
    <mergeCell ref="C29:C30"/>
    <mergeCell ref="D29:D30"/>
    <mergeCell ref="E29:E30"/>
    <mergeCell ref="F29:G30"/>
    <mergeCell ref="A22:A27"/>
    <mergeCell ref="F22:G22"/>
    <mergeCell ref="B23:B25"/>
    <mergeCell ref="C23:C25"/>
    <mergeCell ref="F23:G23"/>
    <mergeCell ref="F24:G24"/>
    <mergeCell ref="F25:G25"/>
    <mergeCell ref="B26:B27"/>
    <mergeCell ref="B31:B32"/>
    <mergeCell ref="C31:C32"/>
    <mergeCell ref="D31:D32"/>
    <mergeCell ref="E31:E32"/>
    <mergeCell ref="F31:G32"/>
    <mergeCell ref="A36:A40"/>
    <mergeCell ref="B36:B40"/>
    <mergeCell ref="C36:C40"/>
    <mergeCell ref="D36:D40"/>
    <mergeCell ref="E36:E40"/>
    <mergeCell ref="A34:A35"/>
    <mergeCell ref="B34:B35"/>
    <mergeCell ref="C34:C35"/>
    <mergeCell ref="D34:D35"/>
    <mergeCell ref="E34:E35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7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5"/>
  <sheetViews>
    <sheetView topLeftCell="A10" zoomScaleNormal="100" workbookViewId="0">
      <selection activeCell="O40" sqref="O40"/>
    </sheetView>
  </sheetViews>
  <sheetFormatPr defaultRowHeight="15" customHeight="1" x14ac:dyDescent="0.3"/>
  <cols>
    <col min="1" max="2" width="5.125" style="15" customWidth="1"/>
    <col min="3" max="3" width="14.125" style="16" customWidth="1"/>
    <col min="4" max="4" width="5.125" style="15" customWidth="1"/>
    <col min="5" max="5" width="13.375" style="16" customWidth="1"/>
    <col min="6" max="6" width="5.125" style="15" customWidth="1"/>
    <col min="7" max="7" width="14" style="16" customWidth="1"/>
    <col min="8" max="8" width="5.125" style="15" customWidth="1"/>
    <col min="9" max="9" width="11.625" style="16" customWidth="1"/>
    <col min="10" max="10" width="5.875" style="16" customWidth="1"/>
    <col min="11" max="11" width="13.375" style="16" customWidth="1"/>
    <col min="12" max="12" width="11" style="15" customWidth="1"/>
    <col min="13" max="13" width="9" style="15"/>
    <col min="14" max="14" width="19.25" style="16" bestFit="1" customWidth="1"/>
    <col min="15" max="15" width="17.375" style="16" customWidth="1"/>
    <col min="16" max="17" width="13.625" style="16" bestFit="1" customWidth="1"/>
    <col min="18" max="18" width="11.375" style="16" bestFit="1" customWidth="1"/>
    <col min="19" max="19" width="9" style="16"/>
    <col min="20" max="16384" width="9" style="15"/>
  </cols>
  <sheetData>
    <row r="1" spans="1:19" ht="21" customHeight="1" x14ac:dyDescent="0.3">
      <c r="A1" s="221" t="s">
        <v>150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"/>
    </row>
    <row r="2" spans="1:19" s="5" customFormat="1" ht="21" customHeight="1" x14ac:dyDescent="0.3">
      <c r="A2" s="221" t="s">
        <v>69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N2" s="21"/>
      <c r="O2" s="21"/>
      <c r="P2" s="21"/>
      <c r="Q2" s="21"/>
      <c r="R2" s="21"/>
      <c r="S2" s="21"/>
    </row>
    <row r="3" spans="1:19" ht="15" customHeight="1" x14ac:dyDescent="0.3">
      <c r="A3" s="312" t="s">
        <v>10</v>
      </c>
      <c r="B3" s="313"/>
      <c r="C3" s="313"/>
      <c r="D3" s="313"/>
      <c r="E3" s="313"/>
      <c r="F3" s="313"/>
      <c r="G3" s="313"/>
      <c r="H3" s="313"/>
      <c r="I3" s="313"/>
      <c r="J3" s="313"/>
      <c r="K3" s="313"/>
      <c r="L3" s="314"/>
    </row>
    <row r="4" spans="1:19" ht="15" customHeight="1" x14ac:dyDescent="0.3">
      <c r="A4" s="304" t="s">
        <v>72</v>
      </c>
      <c r="B4" s="292" t="s">
        <v>16</v>
      </c>
      <c r="C4" s="293"/>
      <c r="D4" s="292" t="s">
        <v>17</v>
      </c>
      <c r="E4" s="293"/>
      <c r="F4" s="292" t="s">
        <v>28</v>
      </c>
      <c r="G4" s="293"/>
      <c r="H4" s="292" t="s">
        <v>27</v>
      </c>
      <c r="I4" s="293"/>
      <c r="J4" s="292" t="s">
        <v>22</v>
      </c>
      <c r="K4" s="293"/>
      <c r="L4" s="282" t="s">
        <v>71</v>
      </c>
    </row>
    <row r="5" spans="1:19" s="17" customFormat="1" ht="15" customHeight="1" x14ac:dyDescent="0.3">
      <c r="A5" s="306"/>
      <c r="B5" s="27" t="s">
        <v>18</v>
      </c>
      <c r="C5" s="28" t="s">
        <v>19</v>
      </c>
      <c r="D5" s="27" t="s">
        <v>20</v>
      </c>
      <c r="E5" s="28" t="s">
        <v>21</v>
      </c>
      <c r="F5" s="27" t="s">
        <v>20</v>
      </c>
      <c r="G5" s="28" t="s">
        <v>19</v>
      </c>
      <c r="H5" s="27" t="s">
        <v>20</v>
      </c>
      <c r="I5" s="28" t="s">
        <v>19</v>
      </c>
      <c r="J5" s="41" t="s">
        <v>25</v>
      </c>
      <c r="K5" s="28" t="s">
        <v>23</v>
      </c>
      <c r="L5" s="284"/>
      <c r="N5" s="18"/>
      <c r="O5" s="18"/>
      <c r="P5" s="18"/>
      <c r="Q5" s="18"/>
      <c r="R5" s="18"/>
      <c r="S5" s="18"/>
    </row>
    <row r="6" spans="1:19" ht="15" customHeight="1" x14ac:dyDescent="0.3">
      <c r="A6" s="23" t="s">
        <v>11</v>
      </c>
      <c r="B6" s="29">
        <f>SUM('1월'!C9:C10)</f>
        <v>0</v>
      </c>
      <c r="C6" s="71">
        <f>'1월'!A10</f>
        <v>0</v>
      </c>
      <c r="D6" s="37">
        <f>SUM('1월'!C11:C12)</f>
        <v>0</v>
      </c>
      <c r="E6" s="38">
        <f>'1월'!A12</f>
        <v>0</v>
      </c>
      <c r="F6" s="37">
        <f>SUM('1월'!C7:C8)</f>
        <v>0</v>
      </c>
      <c r="G6" s="38">
        <f>'1월'!A8</f>
        <v>0</v>
      </c>
      <c r="H6" s="37">
        <f>SUM('1월'!C13:C14)</f>
        <v>0</v>
      </c>
      <c r="I6" s="38">
        <f>'1월'!A14</f>
        <v>0</v>
      </c>
      <c r="J6" s="29">
        <f t="shared" ref="J6:K10" si="0">B6+D6+F6+H6</f>
        <v>0</v>
      </c>
      <c r="K6" s="14">
        <f t="shared" si="0"/>
        <v>0</v>
      </c>
      <c r="L6" s="282"/>
    </row>
    <row r="7" spans="1:19" ht="15" customHeight="1" x14ac:dyDescent="0.3">
      <c r="A7" s="24" t="s">
        <v>31</v>
      </c>
      <c r="B7" s="30">
        <f>SUM('2월'!C9:C13)</f>
        <v>0</v>
      </c>
      <c r="C7" s="31">
        <f>'2월'!A13</f>
        <v>0</v>
      </c>
      <c r="D7" s="32">
        <f>SUM('2월'!C14:C15)</f>
        <v>0</v>
      </c>
      <c r="E7" s="33">
        <f>'2월'!A15</f>
        <v>0</v>
      </c>
      <c r="F7" s="32">
        <f>SUM('2월'!C7:C8)</f>
        <v>0</v>
      </c>
      <c r="G7" s="33">
        <f>'2월'!A8</f>
        <v>0</v>
      </c>
      <c r="H7" s="32">
        <f>SUM('2월'!C16:C17)</f>
        <v>0</v>
      </c>
      <c r="I7" s="33">
        <f>'2월'!A17</f>
        <v>0</v>
      </c>
      <c r="J7" s="34">
        <f t="shared" si="0"/>
        <v>0</v>
      </c>
      <c r="K7" s="42">
        <f t="shared" si="0"/>
        <v>0</v>
      </c>
      <c r="L7" s="283"/>
    </row>
    <row r="8" spans="1:19" s="19" customFormat="1" ht="15" customHeight="1" x14ac:dyDescent="0.3">
      <c r="A8" s="25" t="s">
        <v>32</v>
      </c>
      <c r="B8" s="32">
        <f>SUM('3월'!C9:C18)</f>
        <v>0</v>
      </c>
      <c r="C8" s="33">
        <f>'3월'!A18</f>
        <v>0</v>
      </c>
      <c r="D8" s="32">
        <f>SUM('3월'!C19:C21)</f>
        <v>0</v>
      </c>
      <c r="E8" s="33">
        <f>'3월'!A21</f>
        <v>0</v>
      </c>
      <c r="F8" s="32">
        <f>SUM('3월'!C7:C8)</f>
        <v>0</v>
      </c>
      <c r="G8" s="33">
        <f>'3월'!A8</f>
        <v>0</v>
      </c>
      <c r="H8" s="32">
        <f>SUM('3월'!C7:C8)</f>
        <v>0</v>
      </c>
      <c r="I8" s="33">
        <f>'3월'!A23</f>
        <v>0</v>
      </c>
      <c r="J8" s="32">
        <f t="shared" si="0"/>
        <v>0</v>
      </c>
      <c r="K8" s="33">
        <f t="shared" si="0"/>
        <v>0</v>
      </c>
      <c r="L8" s="283"/>
      <c r="N8" s="20"/>
      <c r="O8" s="20"/>
      <c r="P8" s="20"/>
      <c r="Q8" s="20"/>
      <c r="R8" s="20"/>
      <c r="S8" s="20"/>
    </row>
    <row r="9" spans="1:19" ht="15" customHeight="1" x14ac:dyDescent="0.3">
      <c r="A9" s="24" t="s">
        <v>33</v>
      </c>
      <c r="B9" s="32">
        <f>SUM('4월'!C25:C33)</f>
        <v>0</v>
      </c>
      <c r="C9" s="31">
        <f>'4월'!A14</f>
        <v>0</v>
      </c>
      <c r="D9" s="32">
        <f>SUM('4월'!C15:C16)</f>
        <v>0</v>
      </c>
      <c r="E9" s="33">
        <f>'4월'!A16</f>
        <v>0</v>
      </c>
      <c r="F9" s="32">
        <f>SUM('4월'!C7:C9)</f>
        <v>0</v>
      </c>
      <c r="G9" s="33">
        <f>'4월'!A9</f>
        <v>0</v>
      </c>
      <c r="H9" s="32">
        <f>SUM('4월'!C17:C18)</f>
        <v>0</v>
      </c>
      <c r="I9" s="33">
        <f>'4월'!A18</f>
        <v>0</v>
      </c>
      <c r="J9" s="32">
        <f t="shared" si="0"/>
        <v>0</v>
      </c>
      <c r="K9" s="33">
        <f t="shared" si="0"/>
        <v>0</v>
      </c>
      <c r="L9" s="283"/>
      <c r="N9" s="20"/>
    </row>
    <row r="10" spans="1:19" s="19" customFormat="1" ht="15" customHeight="1" x14ac:dyDescent="0.3">
      <c r="A10" s="25" t="s">
        <v>36</v>
      </c>
      <c r="B10" s="32">
        <f>SUM('5월'!C9:C11)</f>
        <v>0</v>
      </c>
      <c r="C10" s="33">
        <f>'5월'!A11</f>
        <v>0</v>
      </c>
      <c r="D10" s="32">
        <f>SUM('5월'!C12:C13)</f>
        <v>0</v>
      </c>
      <c r="E10" s="33">
        <f>'5월'!A13</f>
        <v>0</v>
      </c>
      <c r="F10" s="32">
        <f>SUM('5월'!C7:C8)</f>
        <v>0</v>
      </c>
      <c r="G10" s="33">
        <f>'5월'!A8</f>
        <v>0</v>
      </c>
      <c r="H10" s="32">
        <f>SUM('5월'!C7:C8)</f>
        <v>0</v>
      </c>
      <c r="I10" s="33">
        <f>'5월'!A17</f>
        <v>0</v>
      </c>
      <c r="J10" s="32">
        <f t="shared" ref="J10:K18" si="1">B10+D10+F10+H10</f>
        <v>0</v>
      </c>
      <c r="K10" s="33">
        <f t="shared" si="0"/>
        <v>0</v>
      </c>
      <c r="L10" s="283"/>
      <c r="N10" s="20"/>
      <c r="O10" s="16"/>
      <c r="P10" s="20"/>
      <c r="Q10" s="20"/>
      <c r="R10" s="20"/>
      <c r="S10" s="20"/>
    </row>
    <row r="11" spans="1:19" ht="15" customHeight="1" x14ac:dyDescent="0.3">
      <c r="A11" s="24" t="s">
        <v>38</v>
      </c>
      <c r="B11" s="34">
        <f>SUM('6월'!C9:C16)</f>
        <v>0</v>
      </c>
      <c r="C11" s="33">
        <f>'6월'!A16</f>
        <v>0</v>
      </c>
      <c r="D11" s="32">
        <f>SUM('6월'!C17:C18)</f>
        <v>0</v>
      </c>
      <c r="E11" s="33">
        <f>'6월'!A18</f>
        <v>0</v>
      </c>
      <c r="F11" s="32">
        <f>SUM('6월'!C7:C8)</f>
        <v>0</v>
      </c>
      <c r="G11" s="33">
        <f>'6월'!A8</f>
        <v>0</v>
      </c>
      <c r="H11" s="32">
        <f>SUM('6월'!C7:C8)</f>
        <v>0</v>
      </c>
      <c r="I11" s="33">
        <f>'6월'!A21</f>
        <v>0</v>
      </c>
      <c r="J11" s="34">
        <f t="shared" si="1"/>
        <v>0</v>
      </c>
      <c r="K11" s="42">
        <f>C11+E11+G11+I11</f>
        <v>0</v>
      </c>
      <c r="L11" s="283"/>
    </row>
    <row r="12" spans="1:19" ht="15" customHeight="1" x14ac:dyDescent="0.3">
      <c r="A12" s="24" t="s">
        <v>41</v>
      </c>
      <c r="B12" s="34">
        <f>SUM('7월'!C9:C16)</f>
        <v>0</v>
      </c>
      <c r="C12" s="33">
        <f>'7월'!A16</f>
        <v>0</v>
      </c>
      <c r="D12" s="32">
        <f>SUM('7월'!C17:C18)</f>
        <v>0</v>
      </c>
      <c r="E12" s="33">
        <f>'7월'!A18</f>
        <v>0</v>
      </c>
      <c r="F12" s="32">
        <f>SUM('7월'!C7:C8)</f>
        <v>0</v>
      </c>
      <c r="G12" s="33">
        <f>'7월'!A8</f>
        <v>0</v>
      </c>
      <c r="H12" s="32">
        <f>SUM('7월'!C19:C21)</f>
        <v>0</v>
      </c>
      <c r="I12" s="33">
        <f>'7월'!A21</f>
        <v>0</v>
      </c>
      <c r="J12" s="34">
        <f t="shared" si="1"/>
        <v>0</v>
      </c>
      <c r="K12" s="42">
        <f>C12+E12+G12+I12</f>
        <v>0</v>
      </c>
      <c r="L12" s="283"/>
    </row>
    <row r="13" spans="1:19" s="19" customFormat="1" ht="15" customHeight="1" x14ac:dyDescent="0.3">
      <c r="A13" s="25" t="s">
        <v>42</v>
      </c>
      <c r="B13" s="32">
        <f>SUM('8월'!C9:C11)</f>
        <v>0</v>
      </c>
      <c r="C13" s="33">
        <f>'8월'!A11</f>
        <v>0</v>
      </c>
      <c r="D13" s="32">
        <f>SUM('8월'!C12:C13)</f>
        <v>0</v>
      </c>
      <c r="E13" s="33">
        <f>'8월'!A13</f>
        <v>0</v>
      </c>
      <c r="F13" s="32">
        <f>SUM('8월'!C7:C8)</f>
        <v>0</v>
      </c>
      <c r="G13" s="33">
        <f>'8월'!A8</f>
        <v>0</v>
      </c>
      <c r="H13" s="40">
        <f>SUM('8월'!C14:C16)</f>
        <v>0</v>
      </c>
      <c r="I13" s="31">
        <f>'8월'!A16</f>
        <v>0</v>
      </c>
      <c r="J13" s="32">
        <f t="shared" si="1"/>
        <v>0</v>
      </c>
      <c r="K13" s="33">
        <f>C13+E13+G13+I13</f>
        <v>0</v>
      </c>
      <c r="L13" s="283"/>
      <c r="N13" s="20"/>
      <c r="O13" s="20"/>
      <c r="P13" s="20"/>
      <c r="Q13" s="20"/>
      <c r="R13" s="20"/>
      <c r="S13" s="20"/>
    </row>
    <row r="14" spans="1:19" ht="15" customHeight="1" x14ac:dyDescent="0.3">
      <c r="A14" s="24" t="s">
        <v>43</v>
      </c>
      <c r="B14" s="34">
        <f>SUM('9월'!C10:C20)</f>
        <v>0</v>
      </c>
      <c r="C14" s="33">
        <f>'9월'!A20</f>
        <v>0</v>
      </c>
      <c r="D14" s="32">
        <f>SUM('9월'!C21:C22)</f>
        <v>0</v>
      </c>
      <c r="E14" s="33">
        <f>'9월'!A22</f>
        <v>0</v>
      </c>
      <c r="F14" s="32">
        <f>SUM('9월'!C7:C9)</f>
        <v>0</v>
      </c>
      <c r="G14" s="33">
        <f>'9월'!A9</f>
        <v>0</v>
      </c>
      <c r="H14" s="32">
        <f>SUM('9월'!C23:C25)</f>
        <v>0</v>
      </c>
      <c r="I14" s="33">
        <f>'9월'!A25</f>
        <v>0</v>
      </c>
      <c r="J14" s="34">
        <f t="shared" si="1"/>
        <v>0</v>
      </c>
      <c r="K14" s="42">
        <f>C14+E14+G14+I14</f>
        <v>0</v>
      </c>
      <c r="L14" s="283"/>
    </row>
    <row r="15" spans="1:19" ht="15" customHeight="1" x14ac:dyDescent="0.25">
      <c r="A15" s="24" t="s">
        <v>44</v>
      </c>
      <c r="B15" s="34">
        <f>SUM('10월'!C10:C18)</f>
        <v>0</v>
      </c>
      <c r="C15" s="33">
        <f>'10월'!A18</f>
        <v>0</v>
      </c>
      <c r="D15" s="32">
        <f>SUM('10월'!C19:C20)</f>
        <v>0</v>
      </c>
      <c r="E15" s="33">
        <f>'10월'!A20</f>
        <v>0</v>
      </c>
      <c r="F15" s="32">
        <f>SUM('10월'!C7:C9)</f>
        <v>0</v>
      </c>
      <c r="G15" s="33">
        <f>'10월'!A9</f>
        <v>0</v>
      </c>
      <c r="H15" s="32">
        <f>SUM('10월'!C21:C22)</f>
        <v>0</v>
      </c>
      <c r="I15" s="33">
        <f>'10월'!A22</f>
        <v>0</v>
      </c>
      <c r="J15" s="34">
        <f t="shared" si="1"/>
        <v>0</v>
      </c>
      <c r="K15" s="42">
        <f t="shared" ref="K15:K17" si="2">C15+E15+G15+I15</f>
        <v>0</v>
      </c>
      <c r="L15" s="283"/>
      <c r="O15" s="16" ph="1"/>
    </row>
    <row r="16" spans="1:19" ht="15" customHeight="1" x14ac:dyDescent="0.25">
      <c r="A16" s="24" t="s">
        <v>45</v>
      </c>
      <c r="B16" s="34"/>
      <c r="C16" s="33">
        <f>'11월'!A11</f>
        <v>0</v>
      </c>
      <c r="D16" s="32"/>
      <c r="E16" s="33">
        <f>'11월'!A13</f>
        <v>0</v>
      </c>
      <c r="F16" s="32"/>
      <c r="G16" s="33">
        <f>'11월'!A8</f>
        <v>0</v>
      </c>
      <c r="H16" s="32"/>
      <c r="I16" s="33">
        <f>'11월'!A15</f>
        <v>0</v>
      </c>
      <c r="J16" s="34">
        <f t="shared" si="1"/>
        <v>0</v>
      </c>
      <c r="K16" s="42">
        <f t="shared" si="2"/>
        <v>0</v>
      </c>
      <c r="L16" s="283"/>
      <c r="O16" s="16" ph="1"/>
    </row>
    <row r="17" spans="1:19" ht="15" customHeight="1" x14ac:dyDescent="0.25">
      <c r="A17" s="24" t="s">
        <v>46</v>
      </c>
      <c r="B17" s="34"/>
      <c r="C17" s="33">
        <f>'12월'!A11</f>
        <v>0</v>
      </c>
      <c r="D17" s="32"/>
      <c r="E17" s="33">
        <f>'12월'!A13</f>
        <v>0</v>
      </c>
      <c r="F17" s="32"/>
      <c r="G17" s="33">
        <f>'12월'!A8</f>
        <v>0</v>
      </c>
      <c r="H17" s="32"/>
      <c r="I17" s="33">
        <f>'12월'!A15</f>
        <v>0</v>
      </c>
      <c r="J17" s="34">
        <f t="shared" si="1"/>
        <v>0</v>
      </c>
      <c r="K17" s="42">
        <f t="shared" si="2"/>
        <v>0</v>
      </c>
      <c r="L17" s="283"/>
      <c r="O17" s="16" ph="1"/>
    </row>
    <row r="18" spans="1:19" ht="15" customHeight="1" x14ac:dyDescent="0.3">
      <c r="A18" s="26" t="s">
        <v>0</v>
      </c>
      <c r="B18" s="35">
        <f t="shared" ref="B18:I18" si="3">SUM(B6:B17)</f>
        <v>0</v>
      </c>
      <c r="C18" s="36">
        <f t="shared" si="3"/>
        <v>0</v>
      </c>
      <c r="D18" s="39">
        <f t="shared" si="3"/>
        <v>0</v>
      </c>
      <c r="E18" s="36">
        <f t="shared" si="3"/>
        <v>0</v>
      </c>
      <c r="F18" s="39">
        <f t="shared" si="3"/>
        <v>0</v>
      </c>
      <c r="G18" s="36">
        <f t="shared" si="3"/>
        <v>0</v>
      </c>
      <c r="H18" s="39">
        <f t="shared" si="3"/>
        <v>0</v>
      </c>
      <c r="I18" s="36">
        <f t="shared" si="3"/>
        <v>0</v>
      </c>
      <c r="J18" s="43">
        <f t="shared" si="1"/>
        <v>0</v>
      </c>
      <c r="K18" s="28">
        <f t="shared" si="1"/>
        <v>0</v>
      </c>
      <c r="L18" s="284"/>
    </row>
    <row r="19" spans="1:19" ht="21" customHeight="1" x14ac:dyDescent="0.3">
      <c r="A19" s="318" t="s">
        <v>70</v>
      </c>
      <c r="B19" s="318"/>
      <c r="C19" s="318"/>
      <c r="D19" s="318"/>
      <c r="E19" s="318"/>
      <c r="F19" s="318"/>
      <c r="G19" s="318"/>
      <c r="H19" s="318"/>
      <c r="I19" s="318"/>
      <c r="J19" s="318"/>
      <c r="K19" s="318"/>
      <c r="L19" s="318"/>
    </row>
    <row r="20" spans="1:19" ht="15" customHeight="1" x14ac:dyDescent="0.3">
      <c r="A20" s="312" t="s">
        <v>29</v>
      </c>
      <c r="B20" s="313"/>
      <c r="C20" s="313"/>
      <c r="D20" s="313"/>
      <c r="E20" s="313"/>
      <c r="F20" s="313"/>
      <c r="G20" s="313"/>
      <c r="H20" s="313"/>
      <c r="I20" s="313"/>
      <c r="J20" s="313"/>
      <c r="K20" s="313"/>
      <c r="L20" s="314"/>
    </row>
    <row r="21" spans="1:19" ht="15" customHeight="1" x14ac:dyDescent="0.3">
      <c r="A21" s="304" t="s">
        <v>73</v>
      </c>
      <c r="B21" s="292" t="s">
        <v>16</v>
      </c>
      <c r="C21" s="293"/>
      <c r="D21" s="292" t="s">
        <v>17</v>
      </c>
      <c r="E21" s="293"/>
      <c r="F21" s="292" t="s">
        <v>28</v>
      </c>
      <c r="G21" s="293"/>
      <c r="H21" s="292" t="s">
        <v>27</v>
      </c>
      <c r="I21" s="293"/>
      <c r="J21" s="292" t="s">
        <v>22</v>
      </c>
      <c r="K21" s="293"/>
      <c r="L21" s="285" t="s">
        <v>74</v>
      </c>
    </row>
    <row r="22" spans="1:19" s="17" customFormat="1" ht="15" customHeight="1" x14ac:dyDescent="0.3">
      <c r="A22" s="306"/>
      <c r="B22" s="27" t="s">
        <v>18</v>
      </c>
      <c r="C22" s="28" t="s">
        <v>19</v>
      </c>
      <c r="D22" s="27" t="s">
        <v>20</v>
      </c>
      <c r="E22" s="28" t="s">
        <v>19</v>
      </c>
      <c r="F22" s="27" t="s">
        <v>20</v>
      </c>
      <c r="G22" s="28" t="s">
        <v>19</v>
      </c>
      <c r="H22" s="27" t="s">
        <v>20</v>
      </c>
      <c r="I22" s="28" t="s">
        <v>19</v>
      </c>
      <c r="J22" s="41" t="s">
        <v>24</v>
      </c>
      <c r="K22" s="28" t="s">
        <v>23</v>
      </c>
      <c r="L22" s="286"/>
      <c r="N22" s="18"/>
      <c r="O22" s="18"/>
      <c r="P22" s="18"/>
      <c r="Q22" s="18"/>
      <c r="R22" s="18"/>
      <c r="S22" s="18"/>
    </row>
    <row r="23" spans="1:19" ht="15" customHeight="1" x14ac:dyDescent="0.3">
      <c r="A23" s="23" t="s">
        <v>11</v>
      </c>
      <c r="B23" s="29">
        <f>SUM('1월'!C23:C25)</f>
        <v>0</v>
      </c>
      <c r="C23" s="14">
        <f>'1월'!A25</f>
        <v>0</v>
      </c>
      <c r="D23" s="45">
        <f>SUM('1월'!C26:C27)</f>
        <v>0</v>
      </c>
      <c r="E23" s="14">
        <f>'1월'!A27</f>
        <v>0</v>
      </c>
      <c r="F23" s="49">
        <f>SUM('1월'!C19:C22)</f>
        <v>0</v>
      </c>
      <c r="G23" s="14">
        <f>'1월'!A22</f>
        <v>0</v>
      </c>
      <c r="H23" s="49">
        <f>SUM('1월'!C28:C29)</f>
        <v>0</v>
      </c>
      <c r="I23" s="14">
        <f>'1월'!A29</f>
        <v>0</v>
      </c>
      <c r="J23" s="45">
        <f t="shared" ref="J23:K25" si="4">B23+D23+F23+H23</f>
        <v>0</v>
      </c>
      <c r="K23" s="85">
        <f t="shared" si="4"/>
        <v>0</v>
      </c>
      <c r="L23" s="315"/>
    </row>
    <row r="24" spans="1:19" ht="15" customHeight="1" x14ac:dyDescent="0.3">
      <c r="A24" s="24" t="s">
        <v>31</v>
      </c>
      <c r="B24" s="34">
        <f>SUM('2월'!C24:C26)</f>
        <v>0</v>
      </c>
      <c r="C24" s="42">
        <f>'2월'!A26</f>
        <v>0</v>
      </c>
      <c r="D24" s="46">
        <f>SUM('2월'!C27:C29)</f>
        <v>0</v>
      </c>
      <c r="E24" s="42">
        <f>'2월'!A29</f>
        <v>0</v>
      </c>
      <c r="F24" s="50">
        <f>SUM('2월'!C22:C23)</f>
        <v>0</v>
      </c>
      <c r="G24" s="42">
        <f>'2월'!A23</f>
        <v>0</v>
      </c>
      <c r="H24" s="50">
        <f>SUM('2월'!C30:C31)</f>
        <v>0</v>
      </c>
      <c r="I24" s="42">
        <f>'2월'!A31</f>
        <v>0</v>
      </c>
      <c r="J24" s="46">
        <f t="shared" si="4"/>
        <v>0</v>
      </c>
      <c r="K24" s="86">
        <f t="shared" si="4"/>
        <v>0</v>
      </c>
      <c r="L24" s="316"/>
    </row>
    <row r="25" spans="1:19" ht="15" customHeight="1" x14ac:dyDescent="0.3">
      <c r="A25" s="24" t="s">
        <v>32</v>
      </c>
      <c r="B25" s="34">
        <f>SUM('3월'!C30:C38)</f>
        <v>0</v>
      </c>
      <c r="C25" s="42">
        <f>'3월'!A38</f>
        <v>0</v>
      </c>
      <c r="D25" s="46">
        <f>SUM('2월'!C27:C29)</f>
        <v>0</v>
      </c>
      <c r="E25" s="42">
        <f>'3월'!A41</f>
        <v>0</v>
      </c>
      <c r="F25" s="50">
        <f>SUM('3월'!C28:C29)</f>
        <v>0</v>
      </c>
      <c r="G25" s="42">
        <v>0</v>
      </c>
      <c r="H25" s="50">
        <f>SUM('3월'!C42:C45)</f>
        <v>0</v>
      </c>
      <c r="I25" s="42">
        <f>'3월'!A45</f>
        <v>0</v>
      </c>
      <c r="J25" s="46">
        <f t="shared" si="4"/>
        <v>0</v>
      </c>
      <c r="K25" s="86">
        <f t="shared" si="4"/>
        <v>0</v>
      </c>
      <c r="L25" s="316"/>
    </row>
    <row r="26" spans="1:19" ht="15" customHeight="1" x14ac:dyDescent="0.3">
      <c r="A26" s="24" t="s">
        <v>34</v>
      </c>
      <c r="B26" s="34">
        <f>SUM('4월'!C25:C33)</f>
        <v>0</v>
      </c>
      <c r="C26" s="42">
        <f>'4월'!A33</f>
        <v>0</v>
      </c>
      <c r="D26" s="46">
        <f>SUM('4월'!C34:C35)</f>
        <v>0</v>
      </c>
      <c r="E26" s="42">
        <f>'4월'!A35</f>
        <v>0</v>
      </c>
      <c r="F26" s="50">
        <f>SUM('4월'!C23:C24)</f>
        <v>0</v>
      </c>
      <c r="G26" s="42">
        <f>'4월'!A24</f>
        <v>0</v>
      </c>
      <c r="H26" s="50">
        <f>SUM('4월'!C36:C37)</f>
        <v>0</v>
      </c>
      <c r="I26" s="42">
        <f>'4월'!A37</f>
        <v>0</v>
      </c>
      <c r="J26" s="46">
        <f t="shared" ref="J26:J35" si="5">B26+D26+F26+H26</f>
        <v>0</v>
      </c>
      <c r="K26" s="86">
        <f t="shared" ref="K26:K35" si="6">C26+E26+G26+I26</f>
        <v>0</v>
      </c>
      <c r="L26" s="316"/>
    </row>
    <row r="27" spans="1:19" s="19" customFormat="1" ht="15" customHeight="1" x14ac:dyDescent="0.3">
      <c r="A27" s="25" t="s">
        <v>37</v>
      </c>
      <c r="B27" s="32">
        <f>SUM('5월'!C24:C29)</f>
        <v>0</v>
      </c>
      <c r="C27" s="33">
        <f>'5월'!A29</f>
        <v>0</v>
      </c>
      <c r="D27" s="47">
        <f>SUM('5월'!C30:C31)</f>
        <v>0</v>
      </c>
      <c r="E27" s="33">
        <f>'5월'!A31</f>
        <v>0</v>
      </c>
      <c r="F27" s="51">
        <f>SUM('5월'!C22:C23)</f>
        <v>0</v>
      </c>
      <c r="G27" s="33">
        <f>'5월'!A23</f>
        <v>0</v>
      </c>
      <c r="H27" s="51">
        <f>SUM('5월'!C32:C35)</f>
        <v>0</v>
      </c>
      <c r="I27" s="33">
        <f>'5월'!A35</f>
        <v>0</v>
      </c>
      <c r="J27" s="47">
        <f t="shared" si="5"/>
        <v>0</v>
      </c>
      <c r="K27" s="87">
        <f t="shared" si="6"/>
        <v>0</v>
      </c>
      <c r="L27" s="316"/>
      <c r="N27" s="20"/>
      <c r="O27" s="20"/>
      <c r="P27" s="20"/>
      <c r="Q27" s="20"/>
      <c r="R27" s="20"/>
      <c r="S27" s="20"/>
    </row>
    <row r="28" spans="1:19" ht="15" customHeight="1" x14ac:dyDescent="0.3">
      <c r="A28" s="24" t="s">
        <v>39</v>
      </c>
      <c r="B28" s="34">
        <f>SUM('6월'!C28:C30)</f>
        <v>0</v>
      </c>
      <c r="C28" s="42">
        <f>'6월'!A30</f>
        <v>0</v>
      </c>
      <c r="D28" s="46">
        <f>SUM('6월'!C31:C32)</f>
        <v>0</v>
      </c>
      <c r="E28" s="42">
        <f>'6월'!A32</f>
        <v>0</v>
      </c>
      <c r="F28" s="50">
        <f>SUM('6월'!C26:C27)</f>
        <v>0</v>
      </c>
      <c r="G28" s="42">
        <f>'6월'!A27</f>
        <v>0</v>
      </c>
      <c r="H28" s="50">
        <f>SUM('6월'!C33:C36)</f>
        <v>0</v>
      </c>
      <c r="I28" s="42">
        <f>'6월'!A36</f>
        <v>0</v>
      </c>
      <c r="J28" s="46">
        <f t="shared" si="5"/>
        <v>0</v>
      </c>
      <c r="K28" s="86">
        <f t="shared" si="6"/>
        <v>0</v>
      </c>
      <c r="L28" s="316"/>
    </row>
    <row r="29" spans="1:19" ht="15" customHeight="1" x14ac:dyDescent="0.3">
      <c r="A29" s="24" t="s">
        <v>41</v>
      </c>
      <c r="B29" s="34">
        <f>SUM('7월'!C28:C34)</f>
        <v>0</v>
      </c>
      <c r="C29" s="42">
        <f>'7월'!A34</f>
        <v>0</v>
      </c>
      <c r="D29" s="46">
        <f>SUM('7월'!C35:C36)</f>
        <v>0</v>
      </c>
      <c r="E29" s="42">
        <f>'7월'!A36</f>
        <v>0</v>
      </c>
      <c r="F29" s="50">
        <f>SUM('7월'!C26:C27)</f>
        <v>0</v>
      </c>
      <c r="G29" s="42">
        <f>'7월'!A27</f>
        <v>0</v>
      </c>
      <c r="H29" s="50">
        <f>SUM('7월'!C37:C40)</f>
        <v>0</v>
      </c>
      <c r="I29" s="42">
        <f>'7월'!A40</f>
        <v>0</v>
      </c>
      <c r="J29" s="46">
        <f t="shared" si="5"/>
        <v>0</v>
      </c>
      <c r="K29" s="86">
        <f t="shared" si="6"/>
        <v>0</v>
      </c>
      <c r="L29" s="316"/>
    </row>
    <row r="30" spans="1:19" ht="15" customHeight="1" x14ac:dyDescent="0.3">
      <c r="A30" s="24" t="s">
        <v>42</v>
      </c>
      <c r="B30" s="34">
        <f>SUM('8월'!C23:C27)</f>
        <v>0</v>
      </c>
      <c r="C30" s="42">
        <f>'8월'!A27</f>
        <v>0</v>
      </c>
      <c r="D30" s="46">
        <f>SUM('8월'!C28:C29)</f>
        <v>0</v>
      </c>
      <c r="E30" s="42">
        <f>'8월'!A29</f>
        <v>0</v>
      </c>
      <c r="F30" s="50">
        <f>SUM('8월'!C21:C22)</f>
        <v>0</v>
      </c>
      <c r="G30" s="42">
        <f>'8월'!A22</f>
        <v>0</v>
      </c>
      <c r="H30" s="50">
        <f>SUM('8월'!C30:C32)</f>
        <v>0</v>
      </c>
      <c r="I30" s="42">
        <f>'8월'!A32</f>
        <v>0</v>
      </c>
      <c r="J30" s="46">
        <f t="shared" si="5"/>
        <v>0</v>
      </c>
      <c r="K30" s="86">
        <f t="shared" si="6"/>
        <v>0</v>
      </c>
      <c r="L30" s="316"/>
    </row>
    <row r="31" spans="1:19" ht="15" customHeight="1" x14ac:dyDescent="0.3">
      <c r="A31" s="24" t="s">
        <v>43</v>
      </c>
      <c r="B31" s="34">
        <f>SUM('9월'!C33:C44)</f>
        <v>0</v>
      </c>
      <c r="C31" s="42">
        <f>'9월'!A44</f>
        <v>0</v>
      </c>
      <c r="D31" s="46">
        <f>SUM('9월'!C45:C47)</f>
        <v>0</v>
      </c>
      <c r="E31" s="42">
        <f>'9월'!A47</f>
        <v>0</v>
      </c>
      <c r="F31" s="50">
        <f>SUM('9월'!C30:C32)</f>
        <v>0</v>
      </c>
      <c r="G31" s="42">
        <f>'9월'!A32</f>
        <v>0</v>
      </c>
      <c r="H31" s="50">
        <f>SUM('9월'!C48:C50)</f>
        <v>0</v>
      </c>
      <c r="I31" s="42">
        <f>'9월'!A50</f>
        <v>0</v>
      </c>
      <c r="J31" s="46">
        <f t="shared" si="5"/>
        <v>0</v>
      </c>
      <c r="K31" s="86">
        <f t="shared" si="6"/>
        <v>0</v>
      </c>
      <c r="L31" s="316"/>
    </row>
    <row r="32" spans="1:19" ht="15" customHeight="1" x14ac:dyDescent="0.25">
      <c r="A32" s="24" t="s">
        <v>44</v>
      </c>
      <c r="B32" s="34">
        <f>SUM('10월'!C29:C37)</f>
        <v>0</v>
      </c>
      <c r="C32" s="42">
        <f>'10월'!A37</f>
        <v>0</v>
      </c>
      <c r="D32" s="46">
        <f>SUM('10월'!C38:C39)</f>
        <v>0</v>
      </c>
      <c r="E32" s="42">
        <f>'10월'!A39</f>
        <v>0</v>
      </c>
      <c r="F32" s="50">
        <f>SUM('10월'!C27:C28)</f>
        <v>0</v>
      </c>
      <c r="G32" s="42">
        <f>'10월'!A28</f>
        <v>0</v>
      </c>
      <c r="H32" s="50">
        <f>SUM('10월'!C40:C41)</f>
        <v>0</v>
      </c>
      <c r="I32" s="42">
        <f>'10월'!A41</f>
        <v>0</v>
      </c>
      <c r="J32" s="46">
        <f t="shared" si="5"/>
        <v>0</v>
      </c>
      <c r="K32" s="86">
        <f t="shared" si="6"/>
        <v>0</v>
      </c>
      <c r="L32" s="316"/>
      <c r="O32" s="16" ph="1"/>
    </row>
    <row r="33" spans="1:19" ht="15" customHeight="1" x14ac:dyDescent="0.25">
      <c r="A33" s="24" t="s">
        <v>47</v>
      </c>
      <c r="B33" s="34"/>
      <c r="C33" s="109">
        <f>'11월'!A28</f>
        <v>0</v>
      </c>
      <c r="D33" s="34"/>
      <c r="E33" s="109">
        <f>'11월'!A30</f>
        <v>0</v>
      </c>
      <c r="F33" s="50"/>
      <c r="G33" s="109">
        <f>'11월'!A21</f>
        <v>0</v>
      </c>
      <c r="H33" s="50"/>
      <c r="I33" s="109">
        <f>'11월'!A32</f>
        <v>0</v>
      </c>
      <c r="J33" s="46">
        <f t="shared" si="5"/>
        <v>0</v>
      </c>
      <c r="K33" s="86">
        <f t="shared" si="6"/>
        <v>0</v>
      </c>
      <c r="L33" s="316"/>
      <c r="O33" s="16" ph="1"/>
    </row>
    <row r="34" spans="1:19" ht="15" customHeight="1" x14ac:dyDescent="0.25">
      <c r="A34" s="24" t="s">
        <v>48</v>
      </c>
      <c r="B34" s="34"/>
      <c r="C34" s="109">
        <f>'12월'!A28</f>
        <v>0</v>
      </c>
      <c r="D34" s="34"/>
      <c r="E34" s="109">
        <f>'12월'!A30</f>
        <v>0</v>
      </c>
      <c r="F34" s="50"/>
      <c r="G34" s="109">
        <f>'12월'!A21</f>
        <v>0</v>
      </c>
      <c r="H34" s="50"/>
      <c r="I34" s="109">
        <f>'12월'!A32</f>
        <v>0</v>
      </c>
      <c r="J34" s="46">
        <f t="shared" si="5"/>
        <v>0</v>
      </c>
      <c r="K34" s="86">
        <f t="shared" si="6"/>
        <v>0</v>
      </c>
      <c r="L34" s="316"/>
      <c r="O34" s="16" ph="1"/>
    </row>
    <row r="35" spans="1:19" ht="15" customHeight="1" x14ac:dyDescent="0.3">
      <c r="A35" s="26" t="s">
        <v>0</v>
      </c>
      <c r="B35" s="44">
        <f t="shared" ref="B35:I35" si="7">SUM(B23:B34)</f>
        <v>0</v>
      </c>
      <c r="C35" s="77">
        <f t="shared" si="7"/>
        <v>0</v>
      </c>
      <c r="D35" s="48">
        <f t="shared" si="7"/>
        <v>0</v>
      </c>
      <c r="E35" s="28">
        <f t="shared" si="7"/>
        <v>0</v>
      </c>
      <c r="F35" s="52">
        <f t="shared" si="7"/>
        <v>0</v>
      </c>
      <c r="G35" s="28">
        <f t="shared" si="7"/>
        <v>0</v>
      </c>
      <c r="H35" s="52">
        <f t="shared" si="7"/>
        <v>0</v>
      </c>
      <c r="I35" s="28">
        <f t="shared" si="7"/>
        <v>0</v>
      </c>
      <c r="J35" s="41">
        <f t="shared" si="5"/>
        <v>0</v>
      </c>
      <c r="K35" s="88">
        <f t="shared" si="6"/>
        <v>0</v>
      </c>
      <c r="L35" s="316"/>
    </row>
    <row r="36" spans="1:19" ht="15" customHeight="1" x14ac:dyDescent="0.3">
      <c r="A36" s="300" t="s">
        <v>52</v>
      </c>
      <c r="B36" s="301"/>
      <c r="C36" s="59" t="e">
        <f>C35/C18%</f>
        <v>#DIV/0!</v>
      </c>
      <c r="D36" s="60"/>
      <c r="E36" s="59" t="e">
        <f>E35/E18%</f>
        <v>#DIV/0!</v>
      </c>
      <c r="F36" s="61"/>
      <c r="G36" s="59" t="e">
        <f>G35/G18%</f>
        <v>#DIV/0!</v>
      </c>
      <c r="H36" s="62"/>
      <c r="I36" s="59" t="e">
        <f>I35/I18%</f>
        <v>#DIV/0!</v>
      </c>
      <c r="J36" s="61"/>
      <c r="K36" s="89" t="e">
        <f>K35/K18%</f>
        <v>#DIV/0!</v>
      </c>
      <c r="L36" s="317"/>
      <c r="N36" s="63"/>
    </row>
    <row r="37" spans="1:19" ht="21" customHeight="1" x14ac:dyDescent="0.3">
      <c r="A37" s="221" t="s">
        <v>151</v>
      </c>
      <c r="B37" s="221"/>
      <c r="C37" s="221"/>
      <c r="D37" s="221"/>
      <c r="E37" s="221"/>
      <c r="F37" s="221"/>
      <c r="G37" s="221"/>
      <c r="H37" s="221"/>
      <c r="I37" s="221"/>
      <c r="J37" s="221"/>
      <c r="K37" s="221"/>
      <c r="L37" s="221"/>
    </row>
    <row r="38" spans="1:19" s="17" customFormat="1" ht="15" customHeight="1" x14ac:dyDescent="0.3">
      <c r="A38" s="7" t="s">
        <v>12</v>
      </c>
      <c r="B38" s="296" t="s">
        <v>13</v>
      </c>
      <c r="C38" s="297"/>
      <c r="D38" s="298"/>
      <c r="E38" s="294" t="s">
        <v>14</v>
      </c>
      <c r="F38" s="295"/>
      <c r="G38" s="54" t="s">
        <v>30</v>
      </c>
      <c r="H38" s="302" t="s">
        <v>40</v>
      </c>
      <c r="I38" s="303"/>
      <c r="J38" s="302" t="s">
        <v>57</v>
      </c>
      <c r="K38" s="295"/>
      <c r="L38" s="6" t="s">
        <v>1</v>
      </c>
      <c r="N38" s="18"/>
      <c r="O38" s="18"/>
      <c r="P38" s="18"/>
      <c r="Q38" s="18"/>
      <c r="R38" s="18"/>
      <c r="S38" s="18"/>
    </row>
    <row r="39" spans="1:19" ht="15" customHeight="1" x14ac:dyDescent="0.3">
      <c r="A39" s="23" t="s">
        <v>15</v>
      </c>
      <c r="B39" s="290">
        <f>'1월'!A33</f>
        <v>0</v>
      </c>
      <c r="C39" s="299"/>
      <c r="D39" s="291"/>
      <c r="E39" s="290">
        <f>'1월'!B33</f>
        <v>0</v>
      </c>
      <c r="F39" s="291"/>
      <c r="G39" s="12">
        <f>'1월'!C33</f>
        <v>0</v>
      </c>
      <c r="H39" s="290">
        <f>B39-G39</f>
        <v>0</v>
      </c>
      <c r="I39" s="291"/>
      <c r="J39" s="290">
        <f>E39-G39</f>
        <v>0</v>
      </c>
      <c r="K39" s="291"/>
      <c r="L39" s="304"/>
    </row>
    <row r="40" spans="1:19" ht="15" customHeight="1" x14ac:dyDescent="0.3">
      <c r="A40" s="24" t="s">
        <v>31</v>
      </c>
      <c r="B40" s="287">
        <f t="shared" ref="B40:B47" si="8">K24</f>
        <v>0</v>
      </c>
      <c r="C40" s="288"/>
      <c r="D40" s="289"/>
      <c r="E40" s="287">
        <f>'2월'!B35</f>
        <v>0</v>
      </c>
      <c r="F40" s="289"/>
      <c r="G40" s="11">
        <f>'2월'!C35</f>
        <v>0</v>
      </c>
      <c r="H40" s="287">
        <f>B40-G40</f>
        <v>0</v>
      </c>
      <c r="I40" s="289"/>
      <c r="J40" s="287">
        <f>E40-G40</f>
        <v>0</v>
      </c>
      <c r="K40" s="289"/>
      <c r="L40" s="305"/>
    </row>
    <row r="41" spans="1:19" ht="15" customHeight="1" x14ac:dyDescent="0.3">
      <c r="A41" s="24" t="s">
        <v>32</v>
      </c>
      <c r="B41" s="287">
        <f t="shared" si="8"/>
        <v>0</v>
      </c>
      <c r="C41" s="288"/>
      <c r="D41" s="289"/>
      <c r="E41" s="287">
        <f>'3월'!B49</f>
        <v>0</v>
      </c>
      <c r="F41" s="289"/>
      <c r="G41" s="11">
        <f>'3월'!C49</f>
        <v>0</v>
      </c>
      <c r="H41" s="287">
        <f>B41-G41</f>
        <v>0</v>
      </c>
      <c r="I41" s="289"/>
      <c r="J41" s="287">
        <f>E41-G41</f>
        <v>0</v>
      </c>
      <c r="K41" s="289"/>
      <c r="L41" s="305"/>
    </row>
    <row r="42" spans="1:19" ht="15" customHeight="1" x14ac:dyDescent="0.3">
      <c r="A42" s="24" t="s">
        <v>35</v>
      </c>
      <c r="B42" s="287">
        <f t="shared" si="8"/>
        <v>0</v>
      </c>
      <c r="C42" s="288"/>
      <c r="D42" s="289"/>
      <c r="E42" s="287">
        <f>'4월'!G39</f>
        <v>0</v>
      </c>
      <c r="F42" s="289"/>
      <c r="G42" s="11">
        <f>'4월'!C41</f>
        <v>0</v>
      </c>
      <c r="H42" s="287">
        <f t="shared" ref="H42:H50" si="9">B42-G42</f>
        <v>0</v>
      </c>
      <c r="I42" s="289"/>
      <c r="J42" s="287">
        <f t="shared" ref="J42:J50" si="10">E42-G42</f>
        <v>0</v>
      </c>
      <c r="K42" s="289"/>
      <c r="L42" s="305"/>
    </row>
    <row r="43" spans="1:19" ht="15" customHeight="1" x14ac:dyDescent="0.3">
      <c r="A43" s="24" t="s">
        <v>37</v>
      </c>
      <c r="B43" s="287">
        <f t="shared" si="8"/>
        <v>0</v>
      </c>
      <c r="C43" s="288"/>
      <c r="D43" s="289"/>
      <c r="E43" s="287">
        <f>'5월'!G37</f>
        <v>0</v>
      </c>
      <c r="F43" s="289"/>
      <c r="G43" s="11">
        <f>'5월'!C39</f>
        <v>0</v>
      </c>
      <c r="H43" s="287">
        <f t="shared" si="9"/>
        <v>0</v>
      </c>
      <c r="I43" s="289"/>
      <c r="J43" s="287">
        <f t="shared" si="10"/>
        <v>0</v>
      </c>
      <c r="K43" s="289"/>
      <c r="L43" s="305"/>
    </row>
    <row r="44" spans="1:19" ht="15" customHeight="1" x14ac:dyDescent="0.3">
      <c r="A44" s="24" t="s">
        <v>38</v>
      </c>
      <c r="B44" s="287">
        <f t="shared" si="8"/>
        <v>0</v>
      </c>
      <c r="C44" s="288"/>
      <c r="D44" s="289"/>
      <c r="E44" s="287">
        <f>'6월'!G38</f>
        <v>0</v>
      </c>
      <c r="F44" s="289"/>
      <c r="G44" s="11">
        <f>'6월'!C40</f>
        <v>0</v>
      </c>
      <c r="H44" s="287">
        <f t="shared" si="9"/>
        <v>0</v>
      </c>
      <c r="I44" s="289"/>
      <c r="J44" s="287">
        <f t="shared" si="10"/>
        <v>0</v>
      </c>
      <c r="K44" s="289"/>
      <c r="L44" s="305"/>
    </row>
    <row r="45" spans="1:19" ht="15" customHeight="1" x14ac:dyDescent="0.3">
      <c r="A45" s="24" t="s">
        <v>41</v>
      </c>
      <c r="B45" s="287">
        <f t="shared" si="8"/>
        <v>0</v>
      </c>
      <c r="C45" s="288"/>
      <c r="D45" s="289"/>
      <c r="E45" s="287">
        <f>'7월'!G42</f>
        <v>0</v>
      </c>
      <c r="F45" s="289"/>
      <c r="G45" s="11">
        <f>'7월'!C44</f>
        <v>0</v>
      </c>
      <c r="H45" s="287">
        <f t="shared" si="9"/>
        <v>0</v>
      </c>
      <c r="I45" s="289"/>
      <c r="J45" s="287">
        <f t="shared" si="10"/>
        <v>0</v>
      </c>
      <c r="K45" s="289"/>
      <c r="L45" s="305"/>
    </row>
    <row r="46" spans="1:19" ht="15" customHeight="1" x14ac:dyDescent="0.3">
      <c r="A46" s="24" t="s">
        <v>42</v>
      </c>
      <c r="B46" s="287">
        <f t="shared" si="8"/>
        <v>0</v>
      </c>
      <c r="C46" s="288"/>
      <c r="D46" s="289"/>
      <c r="E46" s="287">
        <f>'8월'!G34</f>
        <v>0</v>
      </c>
      <c r="F46" s="289"/>
      <c r="G46" s="11">
        <f>'8월'!C36</f>
        <v>0</v>
      </c>
      <c r="H46" s="287">
        <f t="shared" si="9"/>
        <v>0</v>
      </c>
      <c r="I46" s="289"/>
      <c r="J46" s="287">
        <f t="shared" si="10"/>
        <v>0</v>
      </c>
      <c r="K46" s="289"/>
      <c r="L46" s="305"/>
    </row>
    <row r="47" spans="1:19" ht="15" customHeight="1" x14ac:dyDescent="0.3">
      <c r="A47" s="24" t="s">
        <v>49</v>
      </c>
      <c r="B47" s="287">
        <f t="shared" si="8"/>
        <v>0</v>
      </c>
      <c r="C47" s="288"/>
      <c r="D47" s="289"/>
      <c r="E47" s="287">
        <f>'9월'!G52</f>
        <v>0</v>
      </c>
      <c r="F47" s="289"/>
      <c r="G47" s="11">
        <f>'9월'!C54</f>
        <v>0</v>
      </c>
      <c r="H47" s="287">
        <f t="shared" si="9"/>
        <v>0</v>
      </c>
      <c r="I47" s="289"/>
      <c r="J47" s="287">
        <f t="shared" si="10"/>
        <v>0</v>
      </c>
      <c r="K47" s="289"/>
      <c r="L47" s="305"/>
    </row>
    <row r="48" spans="1:19" ht="15" customHeight="1" x14ac:dyDescent="0.3">
      <c r="A48" s="24" t="s">
        <v>50</v>
      </c>
      <c r="B48" s="287">
        <f>K32</f>
        <v>0</v>
      </c>
      <c r="C48" s="288"/>
      <c r="D48" s="289"/>
      <c r="E48" s="287">
        <f>'10월'!B45</f>
        <v>0</v>
      </c>
      <c r="F48" s="289"/>
      <c r="G48" s="11">
        <f>'10월'!C45</f>
        <v>0</v>
      </c>
      <c r="H48" s="287">
        <f t="shared" si="9"/>
        <v>0</v>
      </c>
      <c r="I48" s="289"/>
      <c r="J48" s="287">
        <f>E48-G48</f>
        <v>0</v>
      </c>
      <c r="K48" s="289"/>
      <c r="L48" s="305"/>
    </row>
    <row r="49" spans="1:14" ht="15" customHeight="1" x14ac:dyDescent="0.3">
      <c r="A49" s="24" t="s">
        <v>47</v>
      </c>
      <c r="B49" s="287">
        <f t="shared" ref="B49:B50" si="11">K33</f>
        <v>0</v>
      </c>
      <c r="C49" s="288"/>
      <c r="D49" s="289"/>
      <c r="E49" s="287">
        <f>'11월'!B36</f>
        <v>0</v>
      </c>
      <c r="F49" s="289"/>
      <c r="G49" s="11">
        <f>'11월'!C36</f>
        <v>0</v>
      </c>
      <c r="H49" s="287">
        <f t="shared" si="9"/>
        <v>0</v>
      </c>
      <c r="I49" s="289"/>
      <c r="J49" s="287">
        <f t="shared" si="10"/>
        <v>0</v>
      </c>
      <c r="K49" s="289"/>
      <c r="L49" s="305"/>
    </row>
    <row r="50" spans="1:14" ht="15" customHeight="1" x14ac:dyDescent="0.3">
      <c r="A50" s="24" t="s">
        <v>46</v>
      </c>
      <c r="B50" s="287">
        <f t="shared" si="11"/>
        <v>0</v>
      </c>
      <c r="C50" s="288"/>
      <c r="D50" s="289"/>
      <c r="E50" s="287">
        <f>'12월'!B36</f>
        <v>0</v>
      </c>
      <c r="F50" s="289"/>
      <c r="G50" s="11">
        <f>'12월'!C36</f>
        <v>0</v>
      </c>
      <c r="H50" s="287">
        <f t="shared" si="9"/>
        <v>0</v>
      </c>
      <c r="I50" s="289"/>
      <c r="J50" s="287">
        <f t="shared" si="10"/>
        <v>0</v>
      </c>
      <c r="K50" s="289"/>
      <c r="L50" s="305"/>
    </row>
    <row r="51" spans="1:14" ht="15" customHeight="1" x14ac:dyDescent="0.3">
      <c r="A51" s="53" t="s">
        <v>0</v>
      </c>
      <c r="B51" s="307">
        <f>SUM(B39:D50)</f>
        <v>0</v>
      </c>
      <c r="C51" s="308"/>
      <c r="D51" s="309"/>
      <c r="E51" s="310">
        <f>SUM(E39:F50)</f>
        <v>0</v>
      </c>
      <c r="F51" s="311"/>
      <c r="G51" s="13">
        <f>SUM(G39:G50)</f>
        <v>0</v>
      </c>
      <c r="H51" s="310">
        <f>SUM(H39:I50)</f>
        <v>0</v>
      </c>
      <c r="I51" s="311"/>
      <c r="J51" s="310">
        <f>SUM(J39:K50)</f>
        <v>0</v>
      </c>
      <c r="K51" s="311"/>
      <c r="L51" s="306"/>
    </row>
    <row r="54" spans="1:14" ht="15" customHeight="1" x14ac:dyDescent="0.3">
      <c r="N54" s="58"/>
    </row>
    <row r="55" spans="1:14" ht="15" customHeight="1" x14ac:dyDescent="0.3">
      <c r="C55" s="64"/>
    </row>
  </sheetData>
  <mergeCells count="80">
    <mergeCell ref="J40:K40"/>
    <mergeCell ref="H40:I40"/>
    <mergeCell ref="H41:I41"/>
    <mergeCell ref="E42:F42"/>
    <mergeCell ref="H44:I44"/>
    <mergeCell ref="J43:K43"/>
    <mergeCell ref="E44:F44"/>
    <mergeCell ref="H43:I43"/>
    <mergeCell ref="E43:F43"/>
    <mergeCell ref="J41:K41"/>
    <mergeCell ref="A2:L2"/>
    <mergeCell ref="A3:L3"/>
    <mergeCell ref="A21:A22"/>
    <mergeCell ref="A20:L20"/>
    <mergeCell ref="L23:L36"/>
    <mergeCell ref="A19:L19"/>
    <mergeCell ref="L4:L5"/>
    <mergeCell ref="A4:A5"/>
    <mergeCell ref="J4:K4"/>
    <mergeCell ref="B21:C21"/>
    <mergeCell ref="D21:E21"/>
    <mergeCell ref="F21:G21"/>
    <mergeCell ref="H21:I21"/>
    <mergeCell ref="J21:K21"/>
    <mergeCell ref="B4:C4"/>
    <mergeCell ref="D4:E4"/>
    <mergeCell ref="B51:D51"/>
    <mergeCell ref="H48:I48"/>
    <mergeCell ref="J48:K48"/>
    <mergeCell ref="E49:F49"/>
    <mergeCell ref="H49:I49"/>
    <mergeCell ref="J49:K49"/>
    <mergeCell ref="B50:D50"/>
    <mergeCell ref="E50:F50"/>
    <mergeCell ref="H50:I50"/>
    <mergeCell ref="J50:K50"/>
    <mergeCell ref="B48:D48"/>
    <mergeCell ref="B49:D49"/>
    <mergeCell ref="E51:F51"/>
    <mergeCell ref="H51:I51"/>
    <mergeCell ref="J51:K51"/>
    <mergeCell ref="A1:K1"/>
    <mergeCell ref="J39:K39"/>
    <mergeCell ref="H4:I4"/>
    <mergeCell ref="F4:G4"/>
    <mergeCell ref="E38:F38"/>
    <mergeCell ref="E39:F39"/>
    <mergeCell ref="B38:D38"/>
    <mergeCell ref="B39:D39"/>
    <mergeCell ref="A36:B36"/>
    <mergeCell ref="H38:I38"/>
    <mergeCell ref="J38:K38"/>
    <mergeCell ref="H39:I39"/>
    <mergeCell ref="A37:L37"/>
    <mergeCell ref="L39:L51"/>
    <mergeCell ref="E48:F48"/>
    <mergeCell ref="B47:D47"/>
    <mergeCell ref="J47:K47"/>
    <mergeCell ref="H47:I47"/>
    <mergeCell ref="J46:K46"/>
    <mergeCell ref="H46:I46"/>
    <mergeCell ref="E45:F45"/>
    <mergeCell ref="E47:F47"/>
    <mergeCell ref="E46:F46"/>
    <mergeCell ref="L6:L18"/>
    <mergeCell ref="L21:L22"/>
    <mergeCell ref="B46:D46"/>
    <mergeCell ref="B45:D45"/>
    <mergeCell ref="J45:K45"/>
    <mergeCell ref="H45:I45"/>
    <mergeCell ref="B44:D44"/>
    <mergeCell ref="B43:D43"/>
    <mergeCell ref="B42:D42"/>
    <mergeCell ref="B41:D41"/>
    <mergeCell ref="B40:D40"/>
    <mergeCell ref="E41:F41"/>
    <mergeCell ref="E40:F40"/>
    <mergeCell ref="J44:K44"/>
    <mergeCell ref="J42:K42"/>
    <mergeCell ref="H42:I42"/>
  </mergeCells>
  <phoneticPr fontId="1" type="noConversion"/>
  <printOptions horizontalCentered="1"/>
  <pageMargins left="0.25" right="0.25" top="0.75" bottom="0.75" header="0.3" footer="0.3"/>
  <pageSetup paperSize="9" scale="83" fitToHeight="0" orientation="portrait" r:id="rId1"/>
  <ignoredErrors>
    <ignoredError sqref="D12 F12 B13:B14 D13:D14 F13:F14 H13:H14 B29:B31 D29:D31 F29:F31 H29:H3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이름이 지정된 범위</vt:lpstr>
      </vt:variant>
      <vt:variant>
        <vt:i4>20</vt:i4>
      </vt:variant>
    </vt:vector>
  </HeadingPairs>
  <TitlesOfParts>
    <vt:vector size="33" baseType="lpstr">
      <vt:lpstr>1월</vt:lpstr>
      <vt:lpstr>2월</vt:lpstr>
      <vt:lpstr>3월</vt:lpstr>
      <vt:lpstr>4월</vt:lpstr>
      <vt:lpstr>5월</vt:lpstr>
      <vt:lpstr>6월</vt:lpstr>
      <vt:lpstr>7월</vt:lpstr>
      <vt:lpstr>8월</vt:lpstr>
      <vt:lpstr>9월</vt:lpstr>
      <vt:lpstr>10월</vt:lpstr>
      <vt:lpstr>11월</vt:lpstr>
      <vt:lpstr>12월</vt:lpstr>
      <vt:lpstr>총매출현황</vt:lpstr>
      <vt:lpstr>'10월'!Print_Area</vt:lpstr>
      <vt:lpstr>'11월'!Print_Area</vt:lpstr>
      <vt:lpstr>'12월'!Print_Area</vt:lpstr>
      <vt:lpstr>'1월'!Print_Area</vt:lpstr>
      <vt:lpstr>'2월'!Print_Area</vt:lpstr>
      <vt:lpstr>'3월'!Print_Area</vt:lpstr>
      <vt:lpstr>'4월'!Print_Area</vt:lpstr>
      <vt:lpstr>'5월'!Print_Area</vt:lpstr>
      <vt:lpstr>'6월'!Print_Area</vt:lpstr>
      <vt:lpstr>'7월'!Print_Area</vt:lpstr>
      <vt:lpstr>'8월'!Print_Area</vt:lpstr>
      <vt:lpstr>'9월'!Print_Area</vt:lpstr>
      <vt:lpstr>총매출현황!Print_Area</vt:lpstr>
      <vt:lpstr>'10월'!Print_Titles</vt:lpstr>
      <vt:lpstr>'11월'!Print_Titles</vt:lpstr>
      <vt:lpstr>'12월'!Print_Titles</vt:lpstr>
      <vt:lpstr>'1월'!Print_Titles</vt:lpstr>
      <vt:lpstr>'3월'!Print_Titles</vt:lpstr>
      <vt:lpstr>'7월'!Print_Titles</vt:lpstr>
      <vt:lpstr>'9월'!Print_Titles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총무</dc:creator>
  <cp:lastModifiedBy>USER</cp:lastModifiedBy>
  <cp:lastPrinted>2025-10-02T05:26:10Z</cp:lastPrinted>
  <dcterms:created xsi:type="dcterms:W3CDTF">2013-01-11T02:10:08Z</dcterms:created>
  <dcterms:modified xsi:type="dcterms:W3CDTF">2025-11-10T04:27:38Z</dcterms:modified>
</cp:coreProperties>
</file>